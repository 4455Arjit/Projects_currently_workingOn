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externalLinks/externalLink5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F:\_\"/>
    </mc:Choice>
  </mc:AlternateContent>
  <bookViews>
    <workbookView xWindow="-120" yWindow="-120" windowWidth="20610" windowHeight="11640" activeTab="1"/>
  </bookViews>
  <sheets>
    <sheet name="Invoice" sheetId="9" r:id="rId1"/>
    <sheet name="Invoice data" sheetId="18" r:id="rId2"/>
    <sheet name="REGISTRY" sheetId="8" r:id="rId3"/>
    <sheet name="VOUCHER C.REPAIR" sheetId="12" r:id="rId4"/>
    <sheet name="gst1" sheetId="16" r:id="rId5"/>
    <sheet name="GSTIN UNREGISTERED FIRM" sheetId="13" r:id="rId6"/>
    <sheet name="sol_id" sheetId="14" r:id="rId7"/>
    <sheet name="invoice copy ravi ansara" sheetId="21" r:id="rId8"/>
    <sheet name="hsnmast" sheetId="22" r:id="rId9"/>
  </sheets>
  <functionGroups builtInGroupCount="18"/>
  <externalReferences>
    <externalReference r:id="rId10"/>
    <externalReference r:id="rId11"/>
    <externalReference r:id="rId12"/>
    <externalReference r:id="rId13"/>
    <externalReference r:id="rId14"/>
  </externalReferences>
  <definedNames>
    <definedName name="add">'gst1'!$B$1:$E$211</definedName>
    <definedName name="add_db">'gst1'!$A$1:$E$104</definedName>
    <definedName name="Client" localSheetId="4">[1]REGISTRY!$B$5:$B$125</definedName>
    <definedName name="Client" localSheetId="1">[2]REGISTRY!$B$5:$B$133</definedName>
    <definedName name="Client">REGISTRY!$B$5:$B$33</definedName>
    <definedName name="CUST" localSheetId="1">[3]REGISTRY!$B$5:$B$119</definedName>
    <definedName name="CUST">REGISTRY!$B$5:$B$121</definedName>
    <definedName name="GSTINREG">REGISTRY!$A$4:$I$10</definedName>
    <definedName name="GSTMP" localSheetId="7">'invoice copy ravi ansara'!$P$17:$Q$20</definedName>
    <definedName name="GSTMP">Invoice!$P$17:$Q$20</definedName>
    <definedName name="gstn_master" localSheetId="4">#REF!</definedName>
    <definedName name="gstn_master" localSheetId="7">#REF!</definedName>
    <definedName name="gstn_master" localSheetId="1">#REF!</definedName>
    <definedName name="gstn_master">#REF!</definedName>
    <definedName name="hsnmast">hsnmast!$B$1:$C$121</definedName>
    <definedName name="order" localSheetId="4">OFFSET(#REF!,0,0,COUNTA(#REF!))</definedName>
    <definedName name="order" localSheetId="5">OFFSET(#REF!,0,0,COUNTA(#REF!))</definedName>
    <definedName name="order" localSheetId="7">OFFSET(#REF!,0,0,COUNTA(#REF!))</definedName>
    <definedName name="order" localSheetId="1">OFFSET(#REF!,0,0,COUNTA(#REF!))</definedName>
    <definedName name="order">OFFSET(#REF!,0,0,COUNTA(#REF!))</definedName>
    <definedName name="_xlnm.Print_Area" localSheetId="5">'GSTIN UNREGISTERED FIRM'!$A$1:$J$21</definedName>
    <definedName name="_xlnm.Print_Area" localSheetId="0">Invoice!$B$1:$E$52</definedName>
    <definedName name="_xlnm.Print_Area" localSheetId="7">'invoice copy ravi ansara'!$B$1:$E$52</definedName>
    <definedName name="_xlnm.Print_Area" localSheetId="3">'VOUCHER C.REPAIR'!$A$1:$J$47</definedName>
    <definedName name="product" localSheetId="4">OFFSET(#REF!,0,0,COUNTA(#REF!))</definedName>
    <definedName name="product" localSheetId="5">OFFSET(#REF!,0,0,COUNTA(#REF!))</definedName>
    <definedName name="product" localSheetId="7">OFFSET(#REF!,0,0,COUNTA(#REF!))</definedName>
    <definedName name="product" localSheetId="1">OFFSET(#REF!,0,0,COUNTA(#REF!))</definedName>
    <definedName name="product">OFFSET(#REF!,0,0,COUNTA(#REF!))</definedName>
    <definedName name="REGISTRY">REGISTRY!$A$5:$I$10</definedName>
    <definedName name="sol_ids" localSheetId="4">[1]sol_id!$A$2:$B$60</definedName>
    <definedName name="sol_ids" localSheetId="1">[2]sol_id!$A$2:$B$60</definedName>
    <definedName name="sol_ids">sol_id!$A$2:$B$60</definedName>
    <definedName name="taxgst">'gst1'!$A$1:$B$144</definedName>
    <definedName name="uniqueorder" localSheetId="4">OFFSET(#REF!, 0, 0, COUNT(IF(#REF!="", "", 1)), 1)</definedName>
    <definedName name="uniqueorder" localSheetId="5">OFFSET(#REF!, 0, 0, COUNT(IF(#REF!="", "", 1)), 1)</definedName>
    <definedName name="uniqueorder" localSheetId="7">OFFSET(#REF!, 0, 0, COUNT(IF(#REF!="", "", 1)), 1)</definedName>
    <definedName name="uniqueorder" localSheetId="1">OFFSET(#REF!, 0, 0, COUNT(IF(#REF!="", "", 1)), 1)</definedName>
    <definedName name="uniqueorder">OFFSET(#REF!, 0, 0, COUNT(IF(#REF!="", "", 1)), 1)</definedName>
    <definedName name="uniqueproduct" localSheetId="4">OFFSET(#REF!, 0, 0, COUNT(IF(#REF!="", "", 1)), 1)</definedName>
    <definedName name="uniqueproduct" localSheetId="5">OFFSET(#REF!, 0, 0, COUNT(IF(#REF!="", "", 1)), 1)</definedName>
    <definedName name="uniqueproduct" localSheetId="7">OFFSET(#REF!, 0, 0, COUNT(IF(#REF!="", "", 1)), 1)</definedName>
    <definedName name="uniqueproduct" localSheetId="1">OFFSET(#REF!, 0, 0, COUNT(IF(#REF!="", "", 1)), 1)</definedName>
    <definedName name="uniqueproduct">OFFSET(#REF!, 0, 0, COUNT(IF(#REF!="", "", 1)), 1)</definedName>
    <definedName name="vlookuptable" localSheetId="4">OFFSET(#REF!,0,0,COUNTA(#REF!),2)</definedName>
    <definedName name="vlookuptable" localSheetId="5">OFFSET(#REF!,0,0,COUNTA(#REF!),2)</definedName>
    <definedName name="vlookuptable" localSheetId="7">OFFSET(#REF!,0,0,COUNTA(#REF!),2)</definedName>
    <definedName name="vlookuptable" localSheetId="1">OFFSET(#REF!,0,0,COUNTA(#REF!),2)</definedName>
    <definedName name="vlookuptable">OFFSET(#REF!,0,0,COUNTA(#REF!),2)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7" i="9" l="1"/>
  <c r="E13" i="9" l="1"/>
  <c r="L14" i="9" l="1"/>
  <c r="G26" i="9" l="1"/>
  <c r="G25" i="9"/>
  <c r="G24" i="9"/>
  <c r="G14" i="9"/>
  <c r="G15" i="9"/>
  <c r="G16" i="9"/>
  <c r="G17" i="9"/>
  <c r="G18" i="9"/>
  <c r="G19" i="9"/>
  <c r="G20" i="9"/>
  <c r="G21" i="9"/>
  <c r="G22" i="9"/>
  <c r="G23" i="9"/>
  <c r="G13" i="9"/>
  <c r="K31" i="9" l="1"/>
  <c r="J31" i="9"/>
  <c r="L31" i="9"/>
  <c r="M31" i="9"/>
  <c r="J26" i="9"/>
  <c r="K29" i="9" s="1"/>
  <c r="L27" i="9"/>
  <c r="A37" i="16" l="1"/>
  <c r="C9" i="9" s="1"/>
  <c r="A38" i="16"/>
  <c r="N36" i="21"/>
  <c r="J34" i="21"/>
  <c r="C33" i="21"/>
  <c r="D33" i="21" s="1"/>
  <c r="C32" i="21"/>
  <c r="D32" i="21" s="1"/>
  <c r="K31" i="21"/>
  <c r="L31" i="21" s="1"/>
  <c r="C31" i="21"/>
  <c r="D31" i="21" s="1"/>
  <c r="H29" i="21"/>
  <c r="E29" i="21"/>
  <c r="I28" i="21"/>
  <c r="H28" i="21"/>
  <c r="K27" i="21"/>
  <c r="L27" i="21" s="1"/>
  <c r="N26" i="21"/>
  <c r="H26" i="21"/>
  <c r="H25" i="21"/>
  <c r="E25" i="21"/>
  <c r="H24" i="21"/>
  <c r="E24" i="21"/>
  <c r="H23" i="21"/>
  <c r="E23" i="21"/>
  <c r="H22" i="21"/>
  <c r="E22" i="21"/>
  <c r="M21" i="21"/>
  <c r="N21" i="21" s="1"/>
  <c r="E21" i="21"/>
  <c r="G21" i="21" s="1"/>
  <c r="H20" i="21"/>
  <c r="E20" i="21"/>
  <c r="H19" i="21"/>
  <c r="E19" i="21"/>
  <c r="I18" i="21"/>
  <c r="H18" i="21"/>
  <c r="E18" i="21"/>
  <c r="H17" i="21"/>
  <c r="E17" i="21"/>
  <c r="H16" i="21"/>
  <c r="E16" i="21"/>
  <c r="I15" i="21"/>
  <c r="J15" i="21" s="1"/>
  <c r="E15" i="21"/>
  <c r="K14" i="21"/>
  <c r="E14" i="21"/>
  <c r="L13" i="21"/>
  <c r="K13" i="21"/>
  <c r="K10" i="21" s="1"/>
  <c r="H13" i="21"/>
  <c r="E13" i="21"/>
  <c r="E9" i="21"/>
  <c r="P7" i="21"/>
  <c r="M7" i="21"/>
  <c r="M4" i="21"/>
  <c r="M5" i="21" s="1"/>
  <c r="I15" i="9"/>
  <c r="J15" i="9" s="1"/>
  <c r="J34" i="9"/>
  <c r="L44" i="16"/>
  <c r="L43" i="16"/>
  <c r="L42" i="16"/>
  <c r="L41" i="16"/>
  <c r="L40" i="16"/>
  <c r="L39" i="16"/>
  <c r="L38" i="16"/>
  <c r="L37" i="16"/>
  <c r="L36" i="16"/>
  <c r="L35" i="16"/>
  <c r="L34" i="16"/>
  <c r="E9" i="9"/>
  <c r="J49" i="8"/>
  <c r="N36" i="9"/>
  <c r="B38" i="16"/>
  <c r="B37" i="16"/>
  <c r="D6" i="16"/>
  <c r="N26" i="9"/>
  <c r="K13" i="9"/>
  <c r="K10" i="9" s="1"/>
  <c r="L13" i="9"/>
  <c r="C32" i="9"/>
  <c r="D32" i="9" s="1"/>
  <c r="I18" i="9"/>
  <c r="W103" i="18"/>
  <c r="V98" i="18"/>
  <c r="U98" i="18" s="1"/>
  <c r="M21" i="9"/>
  <c r="N21" i="9" s="1"/>
  <c r="K14" i="9"/>
  <c r="J14" i="8"/>
  <c r="J15" i="8"/>
  <c r="J16" i="8"/>
  <c r="J17" i="8"/>
  <c r="J18" i="8"/>
  <c r="J19" i="8"/>
  <c r="D23" i="16"/>
  <c r="D22" i="16"/>
  <c r="D21" i="16"/>
  <c r="D20" i="16"/>
  <c r="D19" i="16"/>
  <c r="D17" i="16"/>
  <c r="D15" i="16"/>
  <c r="D14" i="16"/>
  <c r="D13" i="16"/>
  <c r="D12" i="16"/>
  <c r="D11" i="16"/>
  <c r="D10" i="16"/>
  <c r="D9" i="16"/>
  <c r="D8" i="16"/>
  <c r="D7" i="16"/>
  <c r="D5" i="16"/>
  <c r="D3" i="16"/>
  <c r="M4" i="9"/>
  <c r="M5" i="9" s="1"/>
  <c r="L20" i="14"/>
  <c r="M20" i="14" s="1"/>
  <c r="K22" i="14"/>
  <c r="L22" i="14" s="1"/>
  <c r="F45" i="13"/>
  <c r="C31" i="9"/>
  <c r="D31" i="9" s="1"/>
  <c r="C33" i="9"/>
  <c r="D33" i="9" s="1"/>
  <c r="J12" i="8"/>
  <c r="J13" i="8"/>
  <c r="I10" i="12"/>
  <c r="I11" i="12" s="1"/>
  <c r="I16" i="12" s="1"/>
  <c r="J11" i="8"/>
  <c r="J10" i="8"/>
  <c r="J9" i="8"/>
  <c r="J8" i="8"/>
  <c r="O25" i="13"/>
  <c r="J6" i="8"/>
  <c r="I4" i="12"/>
  <c r="I7" i="12" s="1"/>
  <c r="S14" i="12"/>
  <c r="J11" i="14"/>
  <c r="Q31" i="12"/>
  <c r="I35" i="12" s="1"/>
  <c r="E28" i="12"/>
  <c r="E33" i="12"/>
  <c r="E2" i="12"/>
  <c r="Q5" i="12"/>
  <c r="J132" i="8"/>
  <c r="J131" i="8"/>
  <c r="J130" i="8"/>
  <c r="I30" i="12"/>
  <c r="J129" i="8"/>
  <c r="E35" i="12"/>
  <c r="E34" i="12"/>
  <c r="E32" i="12"/>
  <c r="O40" i="12"/>
  <c r="C37" i="12" s="1"/>
  <c r="E31" i="12"/>
  <c r="H30" i="12"/>
  <c r="F30" i="12"/>
  <c r="D30" i="12"/>
  <c r="G29" i="12"/>
  <c r="O17" i="13"/>
  <c r="O15" i="13"/>
  <c r="C11" i="13" s="1"/>
  <c r="E9" i="13"/>
  <c r="E8" i="13"/>
  <c r="E7" i="13"/>
  <c r="E6" i="13"/>
  <c r="Q5" i="13"/>
  <c r="I8" i="13" s="1"/>
  <c r="E5" i="13"/>
  <c r="I4" i="13"/>
  <c r="H4" i="13"/>
  <c r="F4" i="13"/>
  <c r="D4" i="13"/>
  <c r="G3" i="13"/>
  <c r="O14" i="12"/>
  <c r="C11" i="12" s="1"/>
  <c r="E9" i="12"/>
  <c r="E8" i="12"/>
  <c r="E7" i="12"/>
  <c r="E6" i="12"/>
  <c r="E5" i="12"/>
  <c r="H4" i="12"/>
  <c r="F4" i="12"/>
  <c r="D4" i="12"/>
  <c r="G3" i="12"/>
  <c r="J36" i="8"/>
  <c r="J37" i="8"/>
  <c r="J38" i="8"/>
  <c r="J39" i="8"/>
  <c r="J40" i="8"/>
  <c r="J41" i="8"/>
  <c r="J42" i="8"/>
  <c r="J43" i="8"/>
  <c r="J44" i="8"/>
  <c r="J45" i="8"/>
  <c r="J46" i="8"/>
  <c r="J47" i="8"/>
  <c r="J48" i="8"/>
  <c r="J50" i="8"/>
  <c r="J51" i="8"/>
  <c r="J52" i="8"/>
  <c r="J53" i="8"/>
  <c r="J54" i="8"/>
  <c r="J55" i="8"/>
  <c r="J56" i="8"/>
  <c r="J57" i="8"/>
  <c r="J58" i="8"/>
  <c r="J59" i="8"/>
  <c r="J60" i="8"/>
  <c r="J61" i="8"/>
  <c r="J62" i="8"/>
  <c r="J63" i="8"/>
  <c r="J64" i="8"/>
  <c r="J65" i="8"/>
  <c r="J66" i="8"/>
  <c r="J67" i="8"/>
  <c r="J68" i="8"/>
  <c r="J69" i="8"/>
  <c r="J70" i="8"/>
  <c r="J71" i="8"/>
  <c r="J72" i="8"/>
  <c r="J73" i="8"/>
  <c r="J74" i="8"/>
  <c r="J75" i="8"/>
  <c r="J76" i="8"/>
  <c r="J77" i="8"/>
  <c r="J78" i="8"/>
  <c r="J79" i="8"/>
  <c r="J80" i="8"/>
  <c r="J81" i="8"/>
  <c r="J82" i="8"/>
  <c r="J83" i="8"/>
  <c r="J84" i="8"/>
  <c r="J85" i="8"/>
  <c r="J86" i="8"/>
  <c r="J87" i="8"/>
  <c r="J88" i="8"/>
  <c r="J89" i="8"/>
  <c r="J90" i="8"/>
  <c r="J91" i="8"/>
  <c r="J92" i="8"/>
  <c r="J93" i="8"/>
  <c r="J94" i="8"/>
  <c r="J95" i="8"/>
  <c r="J96" i="8"/>
  <c r="J97" i="8"/>
  <c r="J98" i="8"/>
  <c r="J99" i="8"/>
  <c r="J100" i="8"/>
  <c r="J101" i="8"/>
  <c r="J103" i="8"/>
  <c r="J104" i="8"/>
  <c r="J105" i="8"/>
  <c r="J106" i="8"/>
  <c r="J107" i="8"/>
  <c r="J108" i="8"/>
  <c r="J109" i="8"/>
  <c r="J110" i="8"/>
  <c r="J111" i="8"/>
  <c r="J112" i="8"/>
  <c r="J113" i="8"/>
  <c r="J114" i="8"/>
  <c r="J115" i="8"/>
  <c r="J116" i="8"/>
  <c r="J117" i="8"/>
  <c r="J118" i="8"/>
  <c r="J119" i="8"/>
  <c r="J120" i="8"/>
  <c r="J121" i="8"/>
  <c r="J122" i="8"/>
  <c r="J123" i="8"/>
  <c r="J124" i="8"/>
  <c r="J125" i="8"/>
  <c r="J126" i="8"/>
  <c r="J127" i="8"/>
  <c r="J128" i="8"/>
  <c r="J5" i="8"/>
  <c r="M7" i="9"/>
  <c r="P7" i="9"/>
  <c r="I6" i="13" l="1"/>
  <c r="C9" i="21"/>
  <c r="I6" i="12"/>
  <c r="H21" i="21"/>
  <c r="G30" i="21"/>
  <c r="H30" i="21" s="1"/>
  <c r="I30" i="21" s="1"/>
  <c r="G30" i="9"/>
  <c r="E30" i="21"/>
  <c r="E32" i="21" s="1"/>
  <c r="I33" i="12"/>
  <c r="E30" i="9"/>
  <c r="O21" i="9"/>
  <c r="O22" i="9" s="1"/>
  <c r="O21" i="21"/>
  <c r="O22" i="21" s="1"/>
  <c r="I7" i="13"/>
  <c r="I34" i="12"/>
  <c r="I8" i="12"/>
  <c r="I9" i="13"/>
  <c r="I32" i="12"/>
  <c r="R14" i="12"/>
  <c r="I9" i="12"/>
  <c r="E31" i="9" l="1"/>
  <c r="I10" i="13"/>
  <c r="I11" i="13" s="1"/>
  <c r="E33" i="21"/>
  <c r="E31" i="21"/>
  <c r="E33" i="9"/>
  <c r="E32" i="9"/>
  <c r="I36" i="12"/>
  <c r="I37" i="12" s="1"/>
  <c r="I42" i="12" s="1"/>
  <c r="C13" i="13"/>
  <c r="I16" i="13" l="1"/>
  <c r="E36" i="9"/>
  <c r="E36" i="21"/>
  <c r="B37" i="21"/>
  <c r="B37" i="9"/>
</calcChain>
</file>

<file path=xl/sharedStrings.xml><?xml version="1.0" encoding="utf-8"?>
<sst xmlns="http://schemas.openxmlformats.org/spreadsheetml/2006/main" count="3237" uniqueCount="870">
  <si>
    <t xml:space="preserve">                                Proforma/ invoice</t>
  </si>
  <si>
    <t>E-SYNDICATES</t>
  </si>
  <si>
    <t>This is sample for you</t>
  </si>
  <si>
    <t>The Amritsar Central Co-op Bank Ltd.,</t>
  </si>
  <si>
    <t>Sold To:</t>
  </si>
  <si>
    <t xml:space="preserve">              Date:        </t>
  </si>
  <si>
    <t>Service OS/Data System Restoration 01/10/2024</t>
  </si>
  <si>
    <t>Principal GSSS Galore</t>
  </si>
  <si>
    <t>GSTIN- "02AJYPT7983J1Z4"</t>
  </si>
  <si>
    <t>Shipping:</t>
  </si>
  <si>
    <t>INDIA</t>
  </si>
  <si>
    <t>TOTAL SALES</t>
  </si>
  <si>
    <t>esyndicates@gmail.com</t>
  </si>
  <si>
    <t>GST @18</t>
  </si>
  <si>
    <t>NOV 2017 GST COLLECTED</t>
  </si>
  <si>
    <t>Nadaun</t>
  </si>
  <si>
    <t>HP GOVT. VENDOR ID</t>
  </si>
  <si>
    <t>HB22710004</t>
  </si>
  <si>
    <t>INVOICE  NO:-</t>
  </si>
  <si>
    <t>FY 2025-26</t>
  </si>
  <si>
    <t>MY CALCULATION</t>
  </si>
  <si>
    <t>FOR OCT 2017</t>
  </si>
  <si>
    <t>Party GSTIN</t>
  </si>
  <si>
    <t>Due Date</t>
  </si>
  <si>
    <t>Sales/Service Invoice</t>
  </si>
  <si>
    <t>Sale/Service-Cat</t>
  </si>
  <si>
    <t>State</t>
  </si>
  <si>
    <t>Item Code/Qty</t>
  </si>
  <si>
    <t xml:space="preserve">Description </t>
  </si>
  <si>
    <t>Item Value</t>
  </si>
  <si>
    <t>AMOUNT</t>
  </si>
  <si>
    <t>RETAIL</t>
  </si>
  <si>
    <t>SSD OEM 128/256Gb Sata 3Y</t>
  </si>
  <si>
    <t>Anti  Virus Software/Internet Security Suit 1Y Lic</t>
  </si>
  <si>
    <t>Service Charges (OS/Data Restoration)</t>
  </si>
  <si>
    <t>,=IFERROR(VLOOKUP(B3,'gst1'!A2:B211,2,0),"")</t>
  </si>
  <si>
    <t>Intex UPS 1000VA (Sr. No. 2104926536221200103) C/NO A103</t>
  </si>
  <si>
    <t>,=IF($E$10="State","Central Tax(CGST)", IF($E$10="Higher", "Central(GST)",""))</t>
  </si>
  <si>
    <t>धरती नहीं, जीवन नहीं</t>
  </si>
  <si>
    <t>पृथ्वी बचाये, अपना जीवन बचाये</t>
  </si>
  <si>
    <t>धरती के साथ वैसा ही व्यवहार  करे, जैसा कि माँ आपके साथ करती है</t>
  </si>
  <si>
    <t>मत करो धरती पर अत्याचार, यही तो है हमारी साँसों का आधार</t>
  </si>
  <si>
    <t>https://sites.google.com/site/ibayasia/</t>
  </si>
  <si>
    <t>TOTAL</t>
  </si>
  <si>
    <t>GST Total(CGST+SGST) OR IGST =&gt;</t>
  </si>
  <si>
    <t xml:space="preserve">Suresh Addin shortcut is </t>
  </si>
  <si>
    <t>Round Off(Discount)Other Receipts</t>
  </si>
  <si>
    <t>TOTAL INVOICE AMOUNT             =&gt;</t>
  </si>
  <si>
    <t>!=RSWORDS(CELL_ADDRESS)</t>
  </si>
  <si>
    <t>UDYAM-HP-03-0000537</t>
  </si>
  <si>
    <t xml:space="preserve">Bank Name :     </t>
  </si>
  <si>
    <t>Central Bank Of India Nadaun/ The ACCB Amritsar</t>
  </si>
  <si>
    <t xml:space="preserve">Name:   </t>
  </si>
  <si>
    <t xml:space="preserve">Account No :  </t>
  </si>
  <si>
    <t>3709351908 / 010335001100024</t>
  </si>
  <si>
    <t xml:space="preserve">IFSCODE :-                </t>
  </si>
  <si>
    <t>CBIN0280424/ UTIB0SASR01</t>
  </si>
  <si>
    <t xml:space="preserve">  </t>
  </si>
  <si>
    <t>*  Goods Once Sold are  not exchangeable or retunable. Warranty as per OEM *</t>
  </si>
  <si>
    <t>For e-syndicates</t>
  </si>
  <si>
    <t>*  15% p.a will be charged after stipulated time. * Physically Tempered equiment out of scope.</t>
  </si>
  <si>
    <t>*  We will only assist in getting the warranty. * Burnout Cases not covered under warranty.</t>
  </si>
  <si>
    <t>* Subject to "Nadaun"  Jurisdiction only.</t>
  </si>
  <si>
    <t>Authorized Signatory</t>
  </si>
  <si>
    <t>THANKS FOR BEING WITH US</t>
  </si>
  <si>
    <t>* Please do inform us regarding any mistake in this invoice  within 24 hours from receipt of this invoice*</t>
  </si>
  <si>
    <r>
      <rPr>
        <i/>
        <sz val="8"/>
        <color theme="1"/>
        <rFont val="Calibri"/>
        <family val="2"/>
        <scheme val="minor"/>
      </rPr>
      <t>E-SYNDICATES</t>
    </r>
    <r>
      <rPr>
        <sz val="8"/>
        <color theme="1"/>
        <rFont val="Calibri"/>
        <family val="2"/>
        <scheme val="minor"/>
      </rPr>
      <t xml:space="preserve">  Ward No.6 Hospital Road, Opp Central Bank of India Nadaun (Himachal Pradesh) 177033 (P) -9418673760- 9604091604</t>
    </r>
  </si>
  <si>
    <t>Invoice #</t>
  </si>
  <si>
    <t>Date</t>
  </si>
  <si>
    <t>Company Name</t>
  </si>
  <si>
    <t>Item Code</t>
  </si>
  <si>
    <t>Description</t>
  </si>
  <si>
    <t>Item price</t>
  </si>
  <si>
    <t>Amount</t>
  </si>
  <si>
    <t>salesmen</t>
  </si>
  <si>
    <t>PO no</t>
  </si>
  <si>
    <t>Notfy</t>
  </si>
  <si>
    <t>Shipping</t>
  </si>
  <si>
    <t>Column1</t>
  </si>
  <si>
    <t>Column2</t>
  </si>
  <si>
    <t>Column3</t>
  </si>
  <si>
    <t>Column4</t>
  </si>
  <si>
    <t>Secy/President GP Kitpal</t>
  </si>
  <si>
    <t>A4 70GSM Paper Ream JK Green</t>
  </si>
  <si>
    <t>Std File Cover with Tag</t>
  </si>
  <si>
    <t>Adhesive</t>
  </si>
  <si>
    <t>Padlock</t>
  </si>
  <si>
    <t>C-925 Refill</t>
  </si>
  <si>
    <t>Kangaro Staples No. 10-1M (Box10PKT)</t>
  </si>
  <si>
    <t>CASH CUSTOMER</t>
  </si>
  <si>
    <t>EPSON 003 65ML BLACK</t>
  </si>
  <si>
    <t>Sub-Divn Ayurvedic Med. Officer</t>
  </si>
  <si>
    <t>Toner 88-A Refill</t>
  </si>
  <si>
    <t xml:space="preserve">Hikvision K2 DVR 4CH 5MP Proper 8 MP Supported, 1Tb HDD,
2 Colorized Bullet Cam with Mic, 3.1 Cable, Conduit Pipe,
4 CH SMPS CPP, BNC+DC(06+03), Gang Box5x5-3,CP Plus 4G Router,
3.3 Spike Extension, With Fixation Labour </t>
  </si>
  <si>
    <t>sharmavayaan@gmail.com, pAnchAm@25, kuhna@25, 5236</t>
  </si>
  <si>
    <t>Mr. Vishal Thakur</t>
  </si>
  <si>
    <t>Intel i5 8th Gen, 16Gb DDR IV RAM, 512Gb nvme HDD, Gigabye 300 Series Motherboard, 22" LED Acer, Frontech FT-2569-600VA UPS,HP Wired Keyboard &amp; Mouse, Wi-Fi, Bluetooth,&amp; Speakers</t>
  </si>
  <si>
    <t>Mgr Central Bank of India Nadaun</t>
  </si>
  <si>
    <t>HP Keybaord Wired</t>
  </si>
  <si>
    <t>02AAACC2498P4ZC</t>
  </si>
  <si>
    <t>Epson Black 774  Genuine Ink</t>
  </si>
  <si>
    <t>Secy/President GP Jhallan</t>
  </si>
  <si>
    <t>Hikvision PT Camera H9c (BE8447981) Dual 5MP</t>
  </si>
  <si>
    <t>SD Card 256Gb SanDisk</t>
  </si>
  <si>
    <t>D-Link Cat6 UTP Cable</t>
  </si>
  <si>
    <t>5X5 Gang BOX</t>
  </si>
  <si>
    <t>Fixation Charges&amp; RJ 45, Clips Etc.,</t>
  </si>
  <si>
    <t xml:space="preserve">Fan Fitting </t>
  </si>
  <si>
    <t>Wire etc</t>
  </si>
  <si>
    <t>Himachal Gramin Bank (B.O Majheen)</t>
  </si>
  <si>
    <t>D-Link Keystone Jack With Faceplate Set</t>
  </si>
  <si>
    <t>RJ 45 D-Link</t>
  </si>
  <si>
    <t>D-Link Cat6 UTP Cable(Network Cable)</t>
  </si>
  <si>
    <t xml:space="preserve">Service </t>
  </si>
  <si>
    <t>Shiva Industrial Security Agency Gujrat Ltd.</t>
  </si>
  <si>
    <t>DVR 4CH Generic</t>
  </si>
  <si>
    <t>IS_S</t>
  </si>
  <si>
    <t>24AAFCS3845P1ZV</t>
  </si>
  <si>
    <t>DVR Fixation in Vehicle</t>
  </si>
  <si>
    <t>Connecting RF Cable</t>
  </si>
  <si>
    <t>HDD 500Gb Green</t>
  </si>
  <si>
    <t>Toner 88-A Swapping Charges</t>
  </si>
  <si>
    <t>ELLORA COMPUTERS</t>
  </si>
  <si>
    <t>CP PLUS 2.4 MP HD BULLET (COLORED)</t>
  </si>
  <si>
    <t>02AWJPK8603N1ZB</t>
  </si>
  <si>
    <t>GPS Installation (2299, 2354, 2589)</t>
  </si>
  <si>
    <t>CCTV Recording Backup Service Charges (2299, 2354)</t>
  </si>
  <si>
    <t>HM GMS BHAVRAN</t>
  </si>
  <si>
    <t>Canon 3010 Scanner C-Cable and Alignment Charges</t>
  </si>
  <si>
    <t>Computer i5, 8Gb RAM, SSD 480GB WD, HP Wire Kbd-Mouse, Accessories</t>
  </si>
  <si>
    <t>Table</t>
  </si>
  <si>
    <t>Airtel Recharge 7807042208</t>
  </si>
  <si>
    <t>HP Wired Kbd +Mouse</t>
  </si>
  <si>
    <t xml:space="preserve">Airtel Fibre Connection </t>
  </si>
  <si>
    <t>4.1 Spike Guard With 3M Cable</t>
  </si>
  <si>
    <t>OTHERS</t>
  </si>
  <si>
    <t>HIKVISION COMPLETE SETUP (NVR 8P K1,POE8CH,IPBullet-3,IPDome1, H9C5MP1, WD 1B SURVILANCE HDD-01, D-LINK4U RACK, CAT6 106M D-LINK,GANGBOXES),FIXATION ETC.</t>
  </si>
  <si>
    <t>Mgr. The Kangra Central Coop Bank Ltd.,</t>
  </si>
  <si>
    <t>Toner 12-A Premium Refill Swap</t>
  </si>
  <si>
    <t>High Focus HC-SD41N3-4G Sr. No. 202402020349</t>
  </si>
  <si>
    <t>Gang Box 5X5</t>
  </si>
  <si>
    <t>Mgr. CBI Cash Chest Nadaun</t>
  </si>
  <si>
    <t>Toner 88-A Premium Refill (Lapcare) Swapped</t>
  </si>
  <si>
    <t>C-925 Toner Refill</t>
  </si>
  <si>
    <t>Jahar Vir Consultancy</t>
  </si>
  <si>
    <t>PORTRONICS WL KIT KEY2 COMBO LPNDEL2R16683708</t>
  </si>
  <si>
    <t>Toner 88-A</t>
  </si>
  <si>
    <t xml:space="preserve">HP WL Mouse </t>
  </si>
  <si>
    <t>Canon C-925 Toner</t>
  </si>
  <si>
    <t>OPC Drum</t>
  </si>
  <si>
    <t>Proceeding Book</t>
  </si>
  <si>
    <t>Cash Book D</t>
  </si>
  <si>
    <t>Vehicle DVR Backup 2299,2354,2589</t>
  </si>
  <si>
    <t>Nilanjan Traders Dhaneta</t>
  </si>
  <si>
    <t>XVR Hi-Focus 12CH</t>
  </si>
  <si>
    <t>02BJMPS3708M1ZV</t>
  </si>
  <si>
    <t>Hi-Focus IPCam With Mic 4MP</t>
  </si>
  <si>
    <t>Cat6 DlLink</t>
  </si>
  <si>
    <t>5x5 Gang Box</t>
  </si>
  <si>
    <t>Hi-Focus POE 4CH</t>
  </si>
  <si>
    <t>Fixatikon</t>
  </si>
  <si>
    <t>RJ 45</t>
  </si>
  <si>
    <t>Appollo One 20W HD Speaker</t>
  </si>
  <si>
    <t>Mouse Wireless</t>
  </si>
  <si>
    <t>Conduit Pipe &amp; Bend</t>
  </si>
  <si>
    <t>FX-10/12-A Toner Swap Refilled</t>
  </si>
  <si>
    <t>D-Link Cat6</t>
  </si>
  <si>
    <t>Hi-Focus HC-TQ2401N2P-SN210235U2MYQ233018218</t>
  </si>
  <si>
    <t>Hi-Focus 8CH SMPS CCTV 2024012121034151</t>
  </si>
  <si>
    <t>Shimalika Jewellars Nadaun</t>
  </si>
  <si>
    <t>NVR 8CH HIKVISION DS 7600 K1 (FU7262482)</t>
  </si>
  <si>
    <t>02AHHPC7171N1ZB</t>
  </si>
  <si>
    <t>Skyhawk Segate HDD1 Tb Survilance</t>
  </si>
  <si>
    <t>HV DOME IP CAM -FW1914559,1914568,1914565, 1914560</t>
  </si>
  <si>
    <t>5X5 Gang Box</t>
  </si>
  <si>
    <t>CP Plus 4CH POE</t>
  </si>
  <si>
    <t>Cat-6 D-Link</t>
  </si>
  <si>
    <t>Fixation</t>
  </si>
  <si>
    <t>HDMI</t>
  </si>
  <si>
    <t>WL Mouse HP</t>
  </si>
  <si>
    <t>DVR &amp; HDD+Service</t>
  </si>
  <si>
    <t>Toner 88-A Swap</t>
  </si>
  <si>
    <t>Passbook Printer Epson PLQ35 HDR Genuine</t>
  </si>
  <si>
    <t>Kittu Dhaneta (Lok Mitar)</t>
  </si>
  <si>
    <t>Printer Toner C925 Refill &amp; Canon 790 Ink Set</t>
  </si>
  <si>
    <t>Vishal Vishu</t>
  </si>
  <si>
    <t>HikVision 8CH NVR 8MP K1</t>
  </si>
  <si>
    <t>Segate 1TB HDD</t>
  </si>
  <si>
    <t>POE 4CH</t>
  </si>
  <si>
    <t>HF (01-01 4MP With Audio Bullet &amp; Dome)</t>
  </si>
  <si>
    <t xml:space="preserve">Gang Box 5x5 </t>
  </si>
  <si>
    <t>Conduit Pipe</t>
  </si>
  <si>
    <t>Misc U Clips Etc with Lying</t>
  </si>
  <si>
    <t>D-Link Cat 6</t>
  </si>
  <si>
    <t>Hixcure 4MP PT Cam</t>
  </si>
  <si>
    <t>Spare IP Cam 4MP</t>
  </si>
  <si>
    <t>HDMI Cable</t>
  </si>
  <si>
    <t>Fixation &amp; Octa Realignment</t>
  </si>
  <si>
    <t>Others POE Splitter</t>
  </si>
  <si>
    <t>Camea Adj ARM</t>
  </si>
  <si>
    <t>Katoch Typing</t>
  </si>
  <si>
    <t xml:space="preserve">Epson 003 Ink Set </t>
  </si>
  <si>
    <t>Epson 003 BK</t>
  </si>
  <si>
    <t>SK Studio Nadaun</t>
  </si>
  <si>
    <t>9V152-FS02B-02850-1AF56   @ SK STUDIO NDN</t>
  </si>
  <si>
    <t>101D5-BWF00-7102B-24178    @ LAPTOP</t>
  </si>
  <si>
    <t>Tarsem Studio Nadaun</t>
  </si>
  <si>
    <t>BIEJ-CMEJ-ENWH-EPDJ-CJOJ-BSCC-OGJH-MH *escan AVIS*</t>
  </si>
  <si>
    <t xml:space="preserve">D-Link Cat 6 </t>
  </si>
  <si>
    <t>Himachal Gramin Bank Bharoli (Nadaun)</t>
  </si>
  <si>
    <t>Lapcare G41, With 2Gb DDR3,SMPS, CPU Fan, O/S Restoration</t>
  </si>
  <si>
    <t>02AAALH0469C1ZR</t>
  </si>
  <si>
    <t>Serviuce Charges</t>
  </si>
  <si>
    <t>RS Welding Works Nadaun</t>
  </si>
  <si>
    <t>Intex LED IT-1902  2 114599693251739109</t>
  </si>
  <si>
    <t>02GBFPS6818L1Z7</t>
  </si>
  <si>
    <t>escan AVIS 1Yr Lic CJDP-DNFK-FPXH-ENEK-DKPK-BTDC-PDKI-KI</t>
  </si>
  <si>
    <t>Principal GSSS Sera</t>
  </si>
  <si>
    <t>HCL PC Restoration(M/b,SMPS,uP)</t>
  </si>
  <si>
    <t>Dell Vostro PC OS &amp; Data Restoration</t>
  </si>
  <si>
    <t>RTC -CMOS 2032</t>
  </si>
  <si>
    <t>The Jhallan Coop Society Ltd.,</t>
  </si>
  <si>
    <t>Mouse Pad</t>
  </si>
  <si>
    <t>Toner 12-A Premium Swap Charges</t>
  </si>
  <si>
    <t>Ezviz H9C -BF1457781, &amp; 256Gb SD Card</t>
  </si>
  <si>
    <t>Lapcare W666 LB410958677</t>
  </si>
  <si>
    <t>Gang Box, Accessories</t>
  </si>
  <si>
    <t>Bhagat Enterprises</t>
  </si>
  <si>
    <t>12-A Fresh Toner Intex  19/8/25</t>
  </si>
  <si>
    <t>BNC &amp; DC Connector (CCTV)</t>
  </si>
  <si>
    <t>Service/Fixation Charges</t>
  </si>
  <si>
    <t>HD 2MP Bullet Hi-Focus</t>
  </si>
  <si>
    <t>Gang Box 5x5</t>
  </si>
  <si>
    <t>Toner 88A Premium With OPC Intex</t>
  </si>
  <si>
    <t>Anti Virus E-Scan AVIS (01 Yr Lic)</t>
  </si>
  <si>
    <t>PC Issue Fixation</t>
  </si>
  <si>
    <t>AJANTA FLEX NADAUN</t>
  </si>
  <si>
    <t>DELL PC Restoration (M/b,SMPS,SSD)</t>
  </si>
  <si>
    <t>CASH</t>
  </si>
  <si>
    <t>02ATDPR7830H1ZQ</t>
  </si>
  <si>
    <t>PC OS/Data Restoration Charges</t>
  </si>
  <si>
    <t>HM GHS Bhavran</t>
  </si>
  <si>
    <t>Motherboard with DC CPU, SMPS Repair,Toner Refill C925</t>
  </si>
  <si>
    <t>HCL PC Update Charges(i5,6Gb,240Gb(SSD WD),USB Ports etc</t>
  </si>
  <si>
    <t>UPS Intex Protector 725 Sr No 2104927536252525250</t>
  </si>
  <si>
    <t>Anti Virus E-Scan AVTS(01 Yr Lic)</t>
  </si>
  <si>
    <t xml:space="preserve">Service Charges </t>
  </si>
  <si>
    <t>USB Standard D Cable for Scanner</t>
  </si>
  <si>
    <t>Desktop PC not working &amp; RTC CMOS Replaced</t>
  </si>
  <si>
    <t>UPS Intex Protector 725</t>
  </si>
  <si>
    <t xml:space="preserve">Toner Generic 388-A </t>
  </si>
  <si>
    <t>OS Restoration</t>
  </si>
  <si>
    <t>SSD HikVision 240GB</t>
  </si>
  <si>
    <t>RAM 8 GB DDR IV</t>
  </si>
  <si>
    <t>Service Charges</t>
  </si>
  <si>
    <t>NVR TP-LINK 8CH 8MP</t>
  </si>
  <si>
    <t>POE 8CH EVTEQ</t>
  </si>
  <si>
    <t>HDD 500GB WD BLUE (1YR)</t>
  </si>
  <si>
    <t>EZVIZ H9C 5MP+5MP</t>
  </si>
  <si>
    <t>TP Link VIGI C4201 2MP DOM CAM</t>
  </si>
  <si>
    <t>5X5 GANGBOX</t>
  </si>
  <si>
    <t>EV TEQ 4G ROUTER</t>
  </si>
  <si>
    <t>CAM FIXATION ARM GI &amp; MISC ACESSORIES</t>
  </si>
  <si>
    <t>HDMI-POE INJECTOR/SPLITTER/TERMINATION</t>
  </si>
  <si>
    <t>Laserjet Printer Cartridge Refill (xxvi-xi-xxiv)</t>
  </si>
  <si>
    <t xml:space="preserve">OPC Drum </t>
  </si>
  <si>
    <t>Magnet</t>
  </si>
  <si>
    <t xml:space="preserve">Wiper Blade </t>
  </si>
  <si>
    <t>Doctor Blade</t>
  </si>
  <si>
    <t xml:space="preserve">PCR </t>
  </si>
  <si>
    <t>HF SMPS 8CH CCTV</t>
  </si>
  <si>
    <t>WD 1TB Purple HDD</t>
  </si>
  <si>
    <t>Logitech K120 2506LOM2DHUP</t>
  </si>
  <si>
    <t>Logitech WL Mouse 2413AP014V59</t>
  </si>
  <si>
    <t>Intex IT-1902 Sr.No. 2114599689243740970 LED Monitor</t>
  </si>
  <si>
    <t>Logitech K120 Wired Standard Keyboard</t>
  </si>
  <si>
    <t>PC SMPS CONSISTENT 350WT</t>
  </si>
  <si>
    <t>Motherbaord Repari G31</t>
  </si>
  <si>
    <t>Others</t>
  </si>
  <si>
    <t>Generic Toner</t>
  </si>
  <si>
    <t>Toner Generic 388-A Restoration</t>
  </si>
  <si>
    <t>UPS Repair</t>
  </si>
  <si>
    <t>12v/7Ah Battery</t>
  </si>
  <si>
    <t>RTC CMOS</t>
  </si>
  <si>
    <t>Power Cable Std PC</t>
  </si>
  <si>
    <t>8CH SMPS EVteQ</t>
  </si>
  <si>
    <t>CP Plus 2.4MP Bullet</t>
  </si>
  <si>
    <t>BNC</t>
  </si>
  <si>
    <t>DC PIN/CONNECTOR</t>
  </si>
  <si>
    <t>SERVICE</t>
  </si>
  <si>
    <t xml:space="preserve">OS Data Restoration </t>
  </si>
  <si>
    <t>Intex SMF 12V7Ah</t>
  </si>
  <si>
    <t>Ashoka Business School Nashik</t>
  </si>
  <si>
    <t>Project:- Commute Application Environmental Sustainability
Software Amount (HSNC 998314)</t>
  </si>
  <si>
    <t>27AABTA3323M1ZT</t>
  </si>
  <si>
    <t>Hiring Cost (HSNC 998314)</t>
  </si>
  <si>
    <t>EV-Teq POE 8CH (HSNC85176290)</t>
  </si>
  <si>
    <t>Canon MF 3010 Gearset &amp; Toner Refill ( All Handed over 08-OCT-25)</t>
  </si>
  <si>
    <t>Toner 88-A, 925</t>
  </si>
  <si>
    <t>Canon LBP 2900  Solenoid  &amp; Refill</t>
  </si>
  <si>
    <t>Generic Toner 925-36-88A</t>
  </si>
  <si>
    <t>HP LJ1005/1006 Repair</t>
  </si>
  <si>
    <t>UPS Repair &amp; Backup</t>
  </si>
  <si>
    <t>USB Hub Restoration</t>
  </si>
  <si>
    <t>PC &amp; Misc Network Restoration</t>
  </si>
  <si>
    <t>Printer Fixation etc.,</t>
  </si>
  <si>
    <t>EV-Teq 4G Router &amp; Fixation</t>
  </si>
  <si>
    <t>CP Plus DomCam 2.4MP 2503013812047908 
 with Mic, Accessores &amp; Fixaton</t>
  </si>
  <si>
    <t>Canon LBP 2900 Pressure Rollar, Fuser Film Replaced &amp; Service Chg</t>
  </si>
  <si>
    <t>Toner 12-A (Intex Fresh)</t>
  </si>
  <si>
    <t>Computer Motherboard H61,DDRIII RAM 4Gb,SSD Restoration</t>
  </si>
  <si>
    <t xml:space="preserve">HP Laptop Battery </t>
  </si>
  <si>
    <t>Generic T-2365 For Brother 2520 MFP</t>
  </si>
  <si>
    <t>Generic Toner 12-A ExPrm Intex</t>
  </si>
  <si>
    <t>Generic Toner Refill, Wiper &amp; Magnet Parts</t>
  </si>
  <si>
    <t>Generic Toner Refill With OPC Drum</t>
  </si>
  <si>
    <t>RAJAT KAPIL CS NADAUN</t>
  </si>
  <si>
    <t>TP LINK NVR 8MP 8CH</t>
  </si>
  <si>
    <t xml:space="preserve">TP LINK VIGI 4201 Vandal Proof IP Cam </t>
  </si>
  <si>
    <t>TP Link Dom IP Camera</t>
  </si>
  <si>
    <t>Hikvision Bullet IP Cam</t>
  </si>
  <si>
    <t>WD Purple HDD 1Tb</t>
  </si>
  <si>
    <t>Network Point Termination &amp; Re-Termination</t>
  </si>
  <si>
    <t>Cat6 D-Link (Networking 4X6=24 +12 Point 1 to Main Office)</t>
  </si>
  <si>
    <t>POE 8CH</t>
  </si>
  <si>
    <t>5X5 Square Box</t>
  </si>
  <si>
    <t>IP Camera Fixation/Labour Charges</t>
  </si>
  <si>
    <t>CCTV CAT6 (5+9+9+16+27)</t>
  </si>
  <si>
    <t>D-Link Gigabit Switch 8Port)</t>
  </si>
  <si>
    <t>SSD 240Gb,128Gb,OS Fixation</t>
  </si>
  <si>
    <t>KVM Switch Over IP HDMI USB 200M (HSNC 85437099)</t>
  </si>
  <si>
    <t>3.1 HD Cable Roll D-Link 90m  (HSNC 85444999)</t>
  </si>
  <si>
    <t>SMPS 8 CH CP PLUS (HSNC 85219090)</t>
  </si>
  <si>
    <t>Conduit Pipe &amp; Accessories (HSNC 39172390)</t>
  </si>
  <si>
    <t>Int Toner 388A (HSNC 84439959)</t>
  </si>
  <si>
    <t>PVC BOX 5X5 (HSNC 85369030)</t>
  </si>
  <si>
    <t>Network Point Termination</t>
  </si>
  <si>
    <t>Network Point Re-Termination</t>
  </si>
  <si>
    <t>Point  Termination</t>
  </si>
  <si>
    <t>Point  Re-Termination</t>
  </si>
  <si>
    <t>Cat6 Patch Cord Customized</t>
  </si>
  <si>
    <t>Customized Patch Cord Cat6</t>
  </si>
  <si>
    <t>Network IO/Point Termination</t>
  </si>
  <si>
    <t>Network IO/Point Re-Termination</t>
  </si>
  <si>
    <t>Patch Cord Customized Std 1.5M</t>
  </si>
  <si>
    <t>D-Link IO Re-Fixation RJ45 Etc.</t>
  </si>
  <si>
    <t>Epson 003</t>
  </si>
  <si>
    <t>SSD 240Gb Lenovo &amp; Fixation OS Data</t>
  </si>
  <si>
    <t>4 PIN ATX SMPS HP 450WT</t>
  </si>
  <si>
    <t>12V/7Ah Battery</t>
  </si>
  <si>
    <t>HP 316 Ink Set</t>
  </si>
  <si>
    <t>Generic Toner 12/78/79/88-A</t>
  </si>
  <si>
    <t>CP Plus EzyCam E28Q</t>
  </si>
  <si>
    <t>64Gb SD Card</t>
  </si>
  <si>
    <t>Service Fixation Charges</t>
  </si>
  <si>
    <t>UPS Intex Protector  725VA 2104927526252525249 HSNC 8507</t>
  </si>
  <si>
    <t>Intex Battery 12V/7Ah HSNC 8506</t>
  </si>
  <si>
    <t>Network Termination Charges</t>
  </si>
  <si>
    <t>Network Re-Termination Charges</t>
  </si>
  <si>
    <t>Passbook Printer Alignment</t>
  </si>
  <si>
    <t>USB D Standard Printer Cable</t>
  </si>
  <si>
    <t>Cat5 Patch Cord 1.2M</t>
  </si>
  <si>
    <t>Network Customization</t>
  </si>
  <si>
    <t xml:space="preserve">USB2Serail Convertor </t>
  </si>
  <si>
    <t>Old System Data Fixation</t>
  </si>
  <si>
    <t>Spare Networking Point &amp; Configuration</t>
  </si>
  <si>
    <t>Port Convertor for Passbook USBCX</t>
  </si>
  <si>
    <t>Passbook Printer Port &amp; Software Configuration/FixReFix Etc</t>
  </si>
  <si>
    <t>Patch Cord Cat6 PQ</t>
  </si>
  <si>
    <t>Face Plate Single KS D-Link</t>
  </si>
  <si>
    <t>Capt. Surjit Singh Jhallan</t>
  </si>
  <si>
    <t>NVR TP LINK 8CH 8MP SUPPORTED  8521</t>
  </si>
  <si>
    <t>IP CAM TP LINK BULLET 4MP DUAL 8525</t>
  </si>
  <si>
    <t>IP CAM TP/HF DOME 8525</t>
  </si>
  <si>
    <t>POE 8 CH EV TEQ 85176290</t>
  </si>
  <si>
    <t>FIXATION IP SETUP 998313</t>
  </si>
  <si>
    <t>CAT 6 D-Link 8544</t>
  </si>
  <si>
    <t>Lying Charges 998313</t>
  </si>
  <si>
    <t>5X5 GANG BOX 85369030</t>
  </si>
  <si>
    <t>RJ 45 8544</t>
  </si>
  <si>
    <t>HDMI 8544</t>
  </si>
  <si>
    <t>Ribbon Passbook PB2</t>
  </si>
  <si>
    <t>LAN Extension Fedus RJ45</t>
  </si>
  <si>
    <t>HM GHS Bhaloon</t>
  </si>
  <si>
    <t>Intex LTC-337 Premium Toner Cartridge</t>
  </si>
  <si>
    <t>OEM 337 Std Refill With OPC Drum</t>
  </si>
  <si>
    <t xml:space="preserve">Cat6 Customized Premium Cable </t>
  </si>
  <si>
    <t>Connector DB9</t>
  </si>
  <si>
    <t>Service Charges Old System Fixation</t>
  </si>
  <si>
    <t>Service Charges PBP/Network/Software</t>
  </si>
  <si>
    <t>USB Serial Convertor</t>
  </si>
  <si>
    <t>Intex LTC-925 (Black Toner Cartridge)HSNC 8443</t>
  </si>
  <si>
    <t>Subhash Bit &amp; Byte Computer Education</t>
  </si>
  <si>
    <t>Micro Soft  Windows11 Pro Retail (Digital License            84WY6-FN4TW-WC2K7-T7YVW-Q69TY )32x64Bit
Micro Soft Office Retail 365 Professional (Digital License XN6W6-3PBFT-YMQPT-BYGK7-DRWM9) Lifetime Validity</t>
  </si>
  <si>
    <t>escan AVIS V11 ENFT-FRHO-HPWH-GRGO-FOQP-BRFC-TJQO-XE (03 Years License 1U)</t>
  </si>
  <si>
    <t>Oder No. 229252 (esyndicates@gmail.com, 22/01/2026)</t>
  </si>
  <si>
    <t xml:space="preserve">Old System Data Migration </t>
  </si>
  <si>
    <t>Network  Fixation</t>
  </si>
  <si>
    <t>HP 200 Pro G4 OS/Troubleshooting Service Charges</t>
  </si>
  <si>
    <t>Operating System /Data   Backup Restoration</t>
  </si>
  <si>
    <t>Logitech Wireless Mouse</t>
  </si>
  <si>
    <t>HDMI Cable Std.</t>
  </si>
  <si>
    <t xml:space="preserve">D-Link Cat6 </t>
  </si>
  <si>
    <t>Conduit Pipe Accessories</t>
  </si>
  <si>
    <t>GangBox 5X5</t>
  </si>
  <si>
    <t>Service Charges Fixation-Re-Fixation</t>
  </si>
  <si>
    <t>BPO/Principal (Samagra Shiksha)</t>
  </si>
  <si>
    <t>Brother TN-B021 Genuine Toner Cartridge</t>
  </si>
  <si>
    <t xml:space="preserve">Generic Toner 12-A Intex </t>
  </si>
  <si>
    <t>Service Charges (02PC Software, Netwroking etc.,)</t>
  </si>
  <si>
    <t>Misc Printer software alignment etc.,</t>
  </si>
  <si>
    <t>Intex LTC 88A Premium Toner</t>
  </si>
  <si>
    <t>Intex UPS Protector 725 1YStd</t>
  </si>
  <si>
    <t>Inte Std USB Optical Mouse</t>
  </si>
  <si>
    <t>USB Wireless LAN Adaptor 150Mbps</t>
  </si>
  <si>
    <t>Service Charges for PC/Printers &amp; Networking</t>
  </si>
  <si>
    <t>Intex UPS Protector 725VA Sr.No.</t>
  </si>
  <si>
    <t>HP 200 Pro G4 SSD Upgrade</t>
  </si>
  <si>
    <t>A4 Generic 70GSM Paper Ream</t>
  </si>
  <si>
    <t>Legal 65GSM Generic Paer Ream</t>
  </si>
  <si>
    <t>Intex LTC 78/79/88 A Premium Toner</t>
  </si>
  <si>
    <t>Acer PC OS Re-installation</t>
  </si>
  <si>
    <t>Brother TN-B021 OEM Toner</t>
  </si>
  <si>
    <t>Service Charges for PC/Printer &amp; Network</t>
  </si>
  <si>
    <t>PC SMPS 450Wt ATX, CMOS &amp; Fixation</t>
  </si>
  <si>
    <t>RTC CMOS Panasonic</t>
  </si>
  <si>
    <t>Epson DLQ-3500 Generic Ribbon High Density</t>
  </si>
  <si>
    <t>USB Keybaord Std 108Keys</t>
  </si>
  <si>
    <t>Principal GSSS Lower Hareta</t>
  </si>
  <si>
    <t>RTC CMOS 2032</t>
  </si>
  <si>
    <t>Service Charges OS/Network etc.</t>
  </si>
  <si>
    <t>OS Reinstallation HCL PC</t>
  </si>
  <si>
    <t>CCTV Camera Re-alignment/Re-Fixation (02IP+01HD)</t>
  </si>
  <si>
    <t>CCTV SMPS 10AMP</t>
  </si>
  <si>
    <t>System Installation/Re-installation(Office)</t>
  </si>
  <si>
    <t>Lenovo KM110 USB-A  OEM KM Kit</t>
  </si>
  <si>
    <t>Service Charges Networking</t>
  </si>
  <si>
    <t>Brother TN-B021 OEM Toner Cartridge</t>
  </si>
  <si>
    <t>Adaptor 12V Std. (For ACER LED)</t>
  </si>
  <si>
    <t>Acer Motherboard Repair Restore</t>
  </si>
  <si>
    <t>Patch Cord Std 1M Jprem</t>
  </si>
  <si>
    <t>PC Upgrade Charges (M/board,CPU,RAM,SMPS,ATX Fix &amp; OS)
(H61,Intel i3, 3rd Gen, 4GB DDR3,ATX 450Wt &amp; Cabinet, Win10)
(2280+2937+1864+1256)</t>
  </si>
  <si>
    <t>Intex LTC-388A Premium Toner</t>
  </si>
  <si>
    <t>Computer OS Fixation</t>
  </si>
  <si>
    <t>Old System Fixation</t>
  </si>
  <si>
    <t>Passbook Printer Fixation</t>
  </si>
  <si>
    <t xml:space="preserve">Intex LED 19" S.No.2114599693253868321 </t>
  </si>
  <si>
    <t>Principal GSSS Basaral</t>
  </si>
  <si>
    <t>HP OEM Toner Refill 78/79-A  (@19/01/2026)</t>
  </si>
  <si>
    <t>Toner 12-A Premium Swap HSD</t>
  </si>
  <si>
    <t>DDR III RAM 4 GB 10600</t>
  </si>
  <si>
    <t>Dell PC SMPS &amp; Motherborad Repair</t>
  </si>
  <si>
    <t>CP Plus 2.4MP IR Dome Camera with Fixation</t>
  </si>
  <si>
    <t>OS Reinstallation W10</t>
  </si>
  <si>
    <t>Service Charges PC/Network/CCTV etc</t>
  </si>
  <si>
    <t>Block Elementary Education Officer</t>
  </si>
  <si>
    <t>CP Plus Dom Camera 2.4Mp</t>
  </si>
  <si>
    <t>Toner Refill with OPC (HP,CANON)</t>
  </si>
  <si>
    <t>Service Charges for PC/Network/ETC</t>
  </si>
  <si>
    <t>Inetl i3 3rd Gen,4Gb  PC3 RAM,128Gb SSD,20"LED,Keyboard &amp; Mouse</t>
  </si>
  <si>
    <t>H M GHS Sarad Dogri</t>
  </si>
  <si>
    <t xml:space="preserve">UPS 1KVA Offline </t>
  </si>
  <si>
    <t>12V/7Ah UPS Battery</t>
  </si>
  <si>
    <t>Service/Installation Charges</t>
  </si>
  <si>
    <t xml:space="preserve">OS/Data Restoration </t>
  </si>
  <si>
    <t>escan AVIS AKBQ-BODL-CUWH-COCL-BLNL-AOBB-QFNK-OC 1 Yr</t>
  </si>
  <si>
    <t>REGULAR CUSTOMER DETAILS</t>
  </si>
  <si>
    <t>NO:</t>
  </si>
  <si>
    <t>Owner or Dealer</t>
  </si>
  <si>
    <t>Adress</t>
  </si>
  <si>
    <t>CITY</t>
  </si>
  <si>
    <t xml:space="preserve">Contact </t>
  </si>
  <si>
    <t>Email</t>
  </si>
  <si>
    <t>Remark( Products name)</t>
  </si>
  <si>
    <t>GSTIN DETAILS</t>
  </si>
  <si>
    <t>Head Master</t>
  </si>
  <si>
    <t>Bhaloon</t>
  </si>
  <si>
    <t>NADAUN</t>
  </si>
  <si>
    <t>Nadan</t>
  </si>
  <si>
    <t>Nada</t>
  </si>
  <si>
    <t>Atul Gosoami Advocate Accounts</t>
  </si>
  <si>
    <t>SOM YAMAHA</t>
  </si>
  <si>
    <t xml:space="preserve">Vill. Daloh, P.O Tihri </t>
  </si>
  <si>
    <t>DEHRA</t>
  </si>
  <si>
    <t>sanjudaloh@gmail.com</t>
  </si>
  <si>
    <t>Jassi Yamaha's Friend</t>
  </si>
  <si>
    <t>CUSTOMER</t>
  </si>
  <si>
    <t>Bhatia Building W6 Nadaun</t>
  </si>
  <si>
    <t>Secy/President GP Badaran</t>
  </si>
  <si>
    <t>VPO Badaran</t>
  </si>
  <si>
    <t>Badaran</t>
  </si>
  <si>
    <t>Gram Panchayat</t>
  </si>
  <si>
    <t>Secretary</t>
  </si>
  <si>
    <t>GP Kitpal</t>
  </si>
  <si>
    <t>Kitpal</t>
  </si>
  <si>
    <t>GP Jhallan</t>
  </si>
  <si>
    <t>Jhallan</t>
  </si>
  <si>
    <t>Ashoka Automobiles</t>
  </si>
  <si>
    <t>Hamirpur</t>
  </si>
  <si>
    <t>02AGJPK9138J1Z8</t>
  </si>
  <si>
    <t>Principal</t>
  </si>
  <si>
    <t>VPO Sera</t>
  </si>
  <si>
    <t>Branch Manager</t>
  </si>
  <si>
    <t>Majheen</t>
  </si>
  <si>
    <t xml:space="preserve">Smt. Beant Kaur </t>
  </si>
  <si>
    <t>Rakkar</t>
  </si>
  <si>
    <t>Principal GSSS Dangri</t>
  </si>
  <si>
    <t>Dangri</t>
  </si>
  <si>
    <t xml:space="preserve">R C SCOOTERS </t>
  </si>
  <si>
    <t>Principal , GSSS Hathol</t>
  </si>
  <si>
    <t>VPO HATHOL</t>
  </si>
  <si>
    <t>VPO JHALLAN</t>
  </si>
  <si>
    <t>JHALLAN</t>
  </si>
  <si>
    <t>Planet Cyber Café Dhaneta</t>
  </si>
  <si>
    <t>Ajay Kumar</t>
  </si>
  <si>
    <t>Dhaneta</t>
  </si>
  <si>
    <t>Principal GSSS Badaran</t>
  </si>
  <si>
    <t>MOTI BROTHERS</t>
  </si>
  <si>
    <t>Vipan K Accountant</t>
  </si>
  <si>
    <t>Accountant</t>
  </si>
  <si>
    <t>President GP Jhallan</t>
  </si>
  <si>
    <t>Raj Kumar &amp; Sons</t>
  </si>
  <si>
    <t>Manpul</t>
  </si>
  <si>
    <t>02AMWPK4250C1ZA</t>
  </si>
  <si>
    <t>City Computers (Shashi Patyal)</t>
  </si>
  <si>
    <t>Rattan Chand</t>
  </si>
  <si>
    <t>Owner</t>
  </si>
  <si>
    <t>Partap Nagar</t>
  </si>
  <si>
    <t>Relative Of Jimmy Qartor</t>
  </si>
  <si>
    <t>Pardeep Y Ji Kaloor(Hotel)</t>
  </si>
  <si>
    <t>Maseh Bridge</t>
  </si>
  <si>
    <t>Kaloor-Kohla</t>
  </si>
  <si>
    <t>Manager</t>
  </si>
  <si>
    <t>Cash Chest</t>
  </si>
  <si>
    <t>Surender MethodeX</t>
  </si>
  <si>
    <t>Home</t>
  </si>
  <si>
    <t>Kaleshwar Rd Kuhna</t>
  </si>
  <si>
    <t>Kuhna</t>
  </si>
  <si>
    <t>END USER</t>
  </si>
  <si>
    <t>DIET GAUNA</t>
  </si>
  <si>
    <t>AO DIET Gauna</t>
  </si>
  <si>
    <t>VPO Gauna Karaur</t>
  </si>
  <si>
    <t>Security Officer</t>
  </si>
  <si>
    <t>Gujrat</t>
  </si>
  <si>
    <t xml:space="preserve">security officer </t>
  </si>
  <si>
    <t>Dealer</t>
  </si>
  <si>
    <t>Near Bus Stand Nadaun</t>
  </si>
  <si>
    <t>School</t>
  </si>
  <si>
    <t>Village Bhavran PO Kitpal</t>
  </si>
  <si>
    <t>GP KITPAL</t>
  </si>
  <si>
    <t>03AACAT6903E1ZV</t>
  </si>
  <si>
    <t>JJ Mega Mall Nadaun</t>
  </si>
  <si>
    <t>Main Bus Stand Ndn Road</t>
  </si>
  <si>
    <t>Baroie</t>
  </si>
  <si>
    <t>Anita Katoch</t>
  </si>
  <si>
    <t>Suresh Kumar</t>
  </si>
  <si>
    <t>Tarsem Kumar</t>
  </si>
  <si>
    <t>Raghubir Singh</t>
  </si>
  <si>
    <t>VPO Jhallan</t>
  </si>
  <si>
    <t>Surjit Singh</t>
  </si>
  <si>
    <t>Hareta</t>
  </si>
  <si>
    <t>Galore</t>
  </si>
  <si>
    <t>Edu Block Galore</t>
  </si>
  <si>
    <t>DADUANA</t>
  </si>
  <si>
    <t>EAST MOHAN NAGAR</t>
  </si>
  <si>
    <t>EVENING BRANCH</t>
  </si>
  <si>
    <t>EXTENSION COUTER</t>
  </si>
  <si>
    <t>FATEHPUR RAJPUTAN</t>
  </si>
  <si>
    <t>GAGGO MAHAL</t>
  </si>
  <si>
    <t>GEHRI MANDI</t>
  </si>
  <si>
    <t>GOSOAMI ASSOCIATES</t>
  </si>
  <si>
    <t>GURU KA BAGH</t>
  </si>
  <si>
    <t>HARSHA CHHINNA</t>
  </si>
  <si>
    <t>HO/Estab/L1</t>
  </si>
  <si>
    <t>D.M ACCB AMRITSAR</t>
  </si>
  <si>
    <t>HALL GATE AMRITSAR</t>
  </si>
  <si>
    <t>Amritsar</t>
  </si>
  <si>
    <t>accb0183@rediffmail.com</t>
  </si>
  <si>
    <t>J.S COMPUTERS</t>
  </si>
  <si>
    <t>J.S Computers</t>
  </si>
  <si>
    <t>F.G.C ROAD AMRITSAR</t>
  </si>
  <si>
    <t>jscomps@rediffmail.com</t>
  </si>
  <si>
    <t>JAGDEV KHURD</t>
  </si>
  <si>
    <t>JAHAR VIR CONSULTANCY</t>
  </si>
  <si>
    <t>JANDIALA GURU</t>
  </si>
  <si>
    <t>PRESIDENT-SECY GP KITPAL</t>
  </si>
  <si>
    <t xml:space="preserve">GRAM PANCHAYAT </t>
  </si>
  <si>
    <t>JASRAUR</t>
  </si>
  <si>
    <t>K.D INFORTECH</t>
  </si>
  <si>
    <t>KALEKE</t>
  </si>
  <si>
    <t>KATHUNANGAL</t>
  </si>
  <si>
    <t>KHASSA</t>
  </si>
  <si>
    <t>KHILCHIAN</t>
  </si>
  <si>
    <t>LOPOKE</t>
  </si>
  <si>
    <t>MAIN BRANCH</t>
  </si>
  <si>
    <t>MAJITHA</t>
  </si>
  <si>
    <t>MANAWALA</t>
  </si>
  <si>
    <t>MATTEWAL</t>
  </si>
  <si>
    <t>MEHMA</t>
  </si>
  <si>
    <t>MEHTA</t>
  </si>
  <si>
    <t>MUDHAL</t>
  </si>
  <si>
    <t>NIRMAL SINGH GHUMMAN</t>
  </si>
  <si>
    <t>PAKHARPURA</t>
  </si>
  <si>
    <t>RK Banyal Cyber World</t>
  </si>
  <si>
    <t>Manju Ravinder K</t>
  </si>
  <si>
    <t>ESTABLISHMENT B.O</t>
  </si>
  <si>
    <t>PANDIT KULDEEP SHARMA BHAROLI BHAGAUR</t>
  </si>
  <si>
    <t>PANDIT KUSHAL SHARMA</t>
  </si>
  <si>
    <t>PAPPU Y</t>
  </si>
  <si>
    <t>PUTALIGHAR</t>
  </si>
  <si>
    <t>RAJA SANSI</t>
  </si>
  <si>
    <t>RAJATAAL</t>
  </si>
  <si>
    <t>RAMDASS</t>
  </si>
  <si>
    <t>RAMESH DOGRA</t>
  </si>
  <si>
    <t>RAYYA</t>
  </si>
  <si>
    <t>SATHIALA</t>
  </si>
  <si>
    <t>SATISH BHIAMBI</t>
  </si>
  <si>
    <t>SHAMNAGAR</t>
  </si>
  <si>
    <t>SOHAIN KALAN</t>
  </si>
  <si>
    <t>Nadaun At Kitpal</t>
  </si>
  <si>
    <t>Kitapl</t>
  </si>
  <si>
    <t>SUDHAR</t>
  </si>
  <si>
    <t>SISA SECURITY</t>
  </si>
  <si>
    <t>GJ19Y2354</t>
  </si>
  <si>
    <t>SURESH MANKOTIA</t>
  </si>
  <si>
    <t>RAVI Y ANSARA</t>
  </si>
  <si>
    <t>OWNER</t>
  </si>
  <si>
    <t>VILLAGE ANSARA</t>
  </si>
  <si>
    <t>PO KITPAL</t>
  </si>
  <si>
    <t>TANGRA</t>
  </si>
  <si>
    <t>TARAGARH</t>
  </si>
  <si>
    <t>TARSIKKA</t>
  </si>
  <si>
    <t>jassisingh272@gmail.com</t>
  </si>
  <si>
    <t>VISHAL THAKUR  9816714787</t>
  </si>
  <si>
    <t>EU</t>
  </si>
  <si>
    <t>NIHARI</t>
  </si>
  <si>
    <t>Vishal Thakur (Rimpu) Shantla</t>
  </si>
  <si>
    <t>JAHAR VIR TRADERS</t>
  </si>
  <si>
    <t>Ashoka College of Education Nashik</t>
  </si>
  <si>
    <t>Ashoka College of Education</t>
  </si>
  <si>
    <t>Nashik</t>
  </si>
  <si>
    <t>Ashoka Business School</t>
  </si>
  <si>
    <t>Kendriya Vidyalya Nadaun</t>
  </si>
  <si>
    <t>Hamirpur Road Nadaun</t>
  </si>
  <si>
    <t>Lovely Kyocera</t>
  </si>
  <si>
    <t>Bhavran (Kitpal)</t>
  </si>
  <si>
    <t>Cooperative Bank Staff Salary Earner T/c Society Ltd.,</t>
  </si>
  <si>
    <t>The Amritsar Central Co-operative Bank Ltd.,</t>
  </si>
  <si>
    <t xml:space="preserve">Mgr  The KCCB Ltd., Dhaneta </t>
  </si>
  <si>
    <t>VPO Dhaneta</t>
  </si>
  <si>
    <t>Kaloha</t>
  </si>
  <si>
    <t>Sachin Sharma</t>
  </si>
  <si>
    <t>Main Bazar Nadaun</t>
  </si>
  <si>
    <t>VPO Bharoli Nadaun</t>
  </si>
  <si>
    <t>Tehsil Dehara Kangra</t>
  </si>
  <si>
    <t>03AAAFJ7905P1Z6</t>
  </si>
  <si>
    <t>03AAACPO165G3ZX</t>
  </si>
  <si>
    <t>03AAECD4680N1ZG</t>
  </si>
  <si>
    <t>03AAJCP1414D1Z2</t>
  </si>
  <si>
    <t>03AAECA8124A2ZE</t>
  </si>
  <si>
    <t>03AAGCG3371H1ZU</t>
  </si>
  <si>
    <t>03AAMTS6717Q1ZQ</t>
  </si>
  <si>
    <t>ENTER DETAILS HERE FOR VOUCHER PREPARATION</t>
  </si>
  <si>
    <t>H.O Amritsar</t>
  </si>
  <si>
    <t>Br.</t>
  </si>
  <si>
    <t>Dated:</t>
  </si>
  <si>
    <t>PARTY NAME</t>
  </si>
  <si>
    <t>M/s e-syndicates</t>
  </si>
  <si>
    <t>DEBIT</t>
  </si>
  <si>
    <t xml:space="preserve">COMPUTER REPAIR &amp; MAINTENANCE A/C </t>
  </si>
  <si>
    <t xml:space="preserve">  Rs.       P</t>
  </si>
  <si>
    <t>ENTER BILL NO.</t>
  </si>
  <si>
    <t>To amt of bill no.</t>
  </si>
  <si>
    <t xml:space="preserve">of </t>
  </si>
  <si>
    <t>dated</t>
  </si>
  <si>
    <t>BILL DATE</t>
  </si>
  <si>
    <t>as per details bill attached</t>
  </si>
  <si>
    <t>BILL AMOUNT</t>
  </si>
  <si>
    <t xml:space="preserve">CGST PAID </t>
  </si>
  <si>
    <t>SOL ID</t>
  </si>
  <si>
    <t>SGST PAID</t>
  </si>
  <si>
    <t>EXP ACCOUNT WTIHOUT SOLD ID</t>
  </si>
  <si>
    <t>COMPUTER REPAIR &amp; MAINTENANCE A/C</t>
  </si>
  <si>
    <t>CGST RECOVERABLE</t>
  </si>
  <si>
    <t>PURPOSE OF BILL OR BILL FOR</t>
  </si>
  <si>
    <t>Canon Laser Toner Refill etc</t>
  </si>
  <si>
    <t>SGST RECOVERABLE</t>
  </si>
  <si>
    <t>CREDIT ACCOUNT NO</t>
  </si>
  <si>
    <t>CGST PAID</t>
  </si>
  <si>
    <t>CREDIT</t>
  </si>
  <si>
    <t>Being Amount Credited to current account mentioned above.</t>
  </si>
  <si>
    <t>Clerk</t>
  </si>
  <si>
    <t>Br.Manager</t>
  </si>
  <si>
    <t xml:space="preserve">M/s e-syndicates </t>
  </si>
  <si>
    <t>Files sharing problem</t>
  </si>
  <si>
    <t>c_name</t>
  </si>
  <si>
    <t>gstin</t>
  </si>
  <si>
    <t>add_1</t>
  </si>
  <si>
    <t>add_2</t>
  </si>
  <si>
    <t>add_3</t>
  </si>
  <si>
    <t>AJIT Y HRTC</t>
  </si>
  <si>
    <t xml:space="preserve">VPO KANGOO, </t>
  </si>
  <si>
    <t>T. NADAUN,DISTT HAMIRPUR</t>
  </si>
  <si>
    <t>HIMACHAL PRADESH</t>
  </si>
  <si>
    <t>AJNALA</t>
  </si>
  <si>
    <t>PUNJAB</t>
  </si>
  <si>
    <t>BALDEV ATTARI</t>
  </si>
  <si>
    <t>C/O CB AMRITSAR</t>
  </si>
  <si>
    <t>BASERKE GILLAN</t>
  </si>
  <si>
    <t>BEAS</t>
  </si>
  <si>
    <t>BHALLAPIND</t>
  </si>
  <si>
    <t>BUNDALA</t>
  </si>
  <si>
    <t>BUTALA</t>
  </si>
  <si>
    <t>CENTRAL JAIL ROAD (MEERANKOT)</t>
  </si>
  <si>
    <t>CHAMYARI</t>
  </si>
  <si>
    <t>CHANANKE</t>
  </si>
  <si>
    <t>Chawinda Devi</t>
  </si>
  <si>
    <t>CHHEHARTA</t>
  </si>
  <si>
    <t>CHOGAWAN</t>
  </si>
  <si>
    <t>EKAS HOSPITALS</t>
  </si>
  <si>
    <t>MAJITHA ROAD</t>
  </si>
  <si>
    <t>F.G.C ROAD SOHIAN KALAN</t>
  </si>
  <si>
    <t>MEHTA ROAD FATEHPUR RAJPUTAN</t>
  </si>
  <si>
    <t>VPO GAGGO MAHAL</t>
  </si>
  <si>
    <t>VPO GEHRI MANDI</t>
  </si>
  <si>
    <t>V.BAAG, P.O BHIAMBI</t>
  </si>
  <si>
    <t>Near Gurdwara Sahib</t>
  </si>
  <si>
    <t>Ajnala Road Kukkranwala</t>
  </si>
  <si>
    <t>Inside Hall Gate</t>
  </si>
  <si>
    <t>Chogawan Road, Ajnala</t>
  </si>
  <si>
    <t>Jandiala Guru Town</t>
  </si>
  <si>
    <t>Deepak Studio</t>
  </si>
  <si>
    <t>HPGB BHAROLI NADAUN</t>
  </si>
  <si>
    <t>VERKA</t>
  </si>
  <si>
    <t>Maharashtra</t>
  </si>
  <si>
    <t>WADALA KALAN</t>
  </si>
  <si>
    <t>Govt. Middle School Bhavran</t>
  </si>
  <si>
    <t>Audit Office</t>
  </si>
  <si>
    <t>K.D ENTERPRISES</t>
  </si>
  <si>
    <t>M/s SOM YAMAHA</t>
  </si>
  <si>
    <t>02CNNPK0210L1ZC</t>
  </si>
  <si>
    <t>M Intergraph Systems (P) Ltd.,</t>
  </si>
  <si>
    <t>07AAACM1683Q1Z0</t>
  </si>
  <si>
    <t>GSSS Basaral</t>
  </si>
  <si>
    <t>GMS Gwalpathar</t>
  </si>
  <si>
    <t>EVENING B.O</t>
  </si>
  <si>
    <t>escan Anti Virus Software at L92AX87</t>
  </si>
  <si>
    <t>GSTIN</t>
  </si>
  <si>
    <t>03AJYPT7983J1Z2</t>
  </si>
  <si>
    <t>sol_id</t>
  </si>
  <si>
    <t>br_name</t>
  </si>
  <si>
    <t>HEAD OFFICE</t>
  </si>
  <si>
    <t xml:space="preserve">MAIN </t>
  </si>
  <si>
    <t>EVENING</t>
  </si>
  <si>
    <t>CHHEHERTA</t>
  </si>
  <si>
    <t>CENTRAL JAIL</t>
  </si>
  <si>
    <t>PUTLIGHAR</t>
  </si>
  <si>
    <t>HPLJ M1136 Scanner Holder Hinge</t>
  </si>
  <si>
    <t>SOHIAN KALAN</t>
  </si>
  <si>
    <t>Service 31/01/25 Lab 04PC &amp; SS Office included</t>
  </si>
  <si>
    <t>Epson L3250 Ink Set C &amp;B</t>
  </si>
  <si>
    <t>ATTARI</t>
  </si>
  <si>
    <t>BHALLA PIND</t>
  </si>
  <si>
    <t>BABA BAKALA</t>
  </si>
  <si>
    <t>HARSHA CHHINA</t>
  </si>
  <si>
    <t>WADALA BHATTEWAD</t>
  </si>
  <si>
    <t>CHAWINDA DEVI</t>
  </si>
  <si>
    <t>BAGGA</t>
  </si>
  <si>
    <t>CHETANPURA</t>
  </si>
  <si>
    <t>KATHU NANGAL</t>
  </si>
  <si>
    <t>SOHIAN KALAN EXTENSION</t>
  </si>
  <si>
    <t xml:space="preserve">SHAM NAGAR </t>
  </si>
  <si>
    <t>WADALA KALAN (AT RAYYA)</t>
  </si>
  <si>
    <t>WADALA VIRAM</t>
  </si>
  <si>
    <t>RAJA TAAL</t>
  </si>
  <si>
    <t>L1 LAB</t>
  </si>
  <si>
    <t xml:space="preserve"> Date:        </t>
  </si>
  <si>
    <t>Ravi Y Ansara</t>
  </si>
  <si>
    <t>Village Ansara P.O Kitapl</t>
  </si>
  <si>
    <t>Tehsil Nadaun</t>
  </si>
  <si>
    <t>Himachal Pradesh</t>
  </si>
  <si>
    <t>8 CH XVR HF 5MP</t>
  </si>
  <si>
    <t>WD 1 TB Survilance HDD</t>
  </si>
  <si>
    <t>HF 5MP COLORIZED BULLET CAM</t>
  </si>
  <si>
    <t>HF 5MP COLORIZED IR DOM CAM</t>
  </si>
  <si>
    <t>HF 5MP COLORIZED DOM CAM</t>
  </si>
  <si>
    <t xml:space="preserve">8CH SMPS </t>
  </si>
  <si>
    <t>CP PLUS 2U RACK &amp; FIXATION</t>
  </si>
  <si>
    <t>4X4 GANG BOX</t>
  </si>
  <si>
    <t>BNC &amp; DC JACK CONNECTORS</t>
  </si>
  <si>
    <t>3.1 CCTV WIRE</t>
  </si>
  <si>
    <t>USB Mouse</t>
  </si>
  <si>
    <t>FIXATION/TERMINATION</t>
  </si>
  <si>
    <t>HDMI Std Cable</t>
  </si>
  <si>
    <t xml:space="preserve">  E &amp;O.E</t>
  </si>
  <si>
    <r>
      <rPr>
        <i/>
        <sz val="8"/>
        <color theme="1"/>
        <rFont val="Calibri"/>
        <family val="2"/>
        <scheme val="minor"/>
      </rPr>
      <t>E-SYNDICATES</t>
    </r>
    <r>
      <rPr>
        <sz val="8"/>
        <color theme="1"/>
        <rFont val="Calibri"/>
        <family val="2"/>
        <scheme val="minor"/>
      </rPr>
      <t xml:space="preserve">  Ward No.6 Hospital Road, Opp Central Bank of India Nadaun (Himachal Pradesh) 177033</t>
    </r>
  </si>
  <si>
    <t>item</t>
  </si>
  <si>
    <t>hsnc</t>
  </si>
  <si>
    <t>NVR</t>
  </si>
  <si>
    <t>DVR</t>
  </si>
  <si>
    <t>IP BULLET CAM</t>
  </si>
  <si>
    <t>IP DOM CAM</t>
  </si>
  <si>
    <t>HD  BULLET CAM</t>
  </si>
  <si>
    <t>HD DOM CAM</t>
  </si>
  <si>
    <t>HDD</t>
  </si>
  <si>
    <t>SMPS</t>
  </si>
  <si>
    <t>POE</t>
  </si>
  <si>
    <t>CAT6</t>
  </si>
  <si>
    <t>GANG BOX</t>
  </si>
  <si>
    <t>HD CABLE</t>
  </si>
  <si>
    <t>BNC CON</t>
  </si>
  <si>
    <t>DC CON</t>
  </si>
  <si>
    <t>FIXATION</t>
  </si>
  <si>
    <t>SSD</t>
  </si>
  <si>
    <t>TONER</t>
  </si>
  <si>
    <t>ITEM1</t>
  </si>
  <si>
    <t>ITEM2</t>
  </si>
  <si>
    <t>ITEM3</t>
  </si>
  <si>
    <t>ITEM4</t>
  </si>
  <si>
    <t>ITEM5</t>
  </si>
  <si>
    <t>ITEM6</t>
  </si>
  <si>
    <t>ITEM7</t>
  </si>
  <si>
    <t>ITEM8</t>
  </si>
  <si>
    <t>ITEM9</t>
  </si>
  <si>
    <t>ITEM10</t>
  </si>
  <si>
    <t>ITEM11</t>
  </si>
  <si>
    <t>ITEM12</t>
  </si>
  <si>
    <t>ITEM13</t>
  </si>
  <si>
    <t>ITEM14</t>
  </si>
  <si>
    <t>ITEM15</t>
  </si>
  <si>
    <t>ITEM16</t>
  </si>
  <si>
    <t>ITEM17</t>
  </si>
  <si>
    <t>ITEM18</t>
  </si>
  <si>
    <t>ITEM19</t>
  </si>
  <si>
    <t>ITEM20</t>
  </si>
  <si>
    <t>ITEM21</t>
  </si>
  <si>
    <t>ITEM22</t>
  </si>
  <si>
    <t>ITEM23</t>
  </si>
  <si>
    <t>ITEM24</t>
  </si>
  <si>
    <t>ITEM25</t>
  </si>
  <si>
    <t>ITEM26</t>
  </si>
  <si>
    <t>ITEM27</t>
  </si>
  <si>
    <t>ITEM28</t>
  </si>
  <si>
    <t>ITEM29</t>
  </si>
  <si>
    <t>ITEM30</t>
  </si>
  <si>
    <t>ITEM31</t>
  </si>
  <si>
    <t>D-Link Keystone Jack, Face Plate</t>
  </si>
  <si>
    <t>CCTV Camera Fixation</t>
  </si>
  <si>
    <t>Patch Cords Cat6</t>
  </si>
  <si>
    <t>BNC,DC, RJ45 Connectors Etc.</t>
  </si>
  <si>
    <t>D-Link IO Box</t>
  </si>
  <si>
    <t>RJ45</t>
  </si>
  <si>
    <t>Cat6 Std Patch Cord 1.5M</t>
  </si>
  <si>
    <t>IO Re-Termination</t>
  </si>
  <si>
    <t>Fin 10 Migration/Network IO Termination</t>
  </si>
  <si>
    <t>Network IO Termination Etc Fin 10</t>
  </si>
  <si>
    <t>System Fixation Network Configuration</t>
  </si>
  <si>
    <t>FY 2026-27</t>
  </si>
  <si>
    <t>CCTV SMPS 10AMP 8CH</t>
  </si>
  <si>
    <t>RTC CMOS 1220/2032</t>
  </si>
  <si>
    <t>DC PIN</t>
  </si>
  <si>
    <t>Service Reconfiguration/Reconnection</t>
  </si>
  <si>
    <t>Chetanpura B.O</t>
  </si>
  <si>
    <t>Chetanpura</t>
  </si>
  <si>
    <t>SMPS DVR 12/5ANO</t>
  </si>
  <si>
    <t>DVR RTC CMOS</t>
  </si>
  <si>
    <t>Power Cable</t>
  </si>
  <si>
    <t>CCTV Reconnection</t>
  </si>
  <si>
    <t>CCTV Reconfiguration etc.</t>
  </si>
  <si>
    <t>Misc Network &amp; CCTV Fixation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</si>
</sst>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0">
    <numFmt numFmtId="164" formatCode="_-* #,##0.00\ _k_r_-;\-* #,##0.00\ _k_r_-;_-* &quot;-&quot;??\ _k_r_-;_-@_-"/>
    <numFmt numFmtId="165" formatCode="[$$-409]#,##0.00_ ;\-[$$-409]#,##0.00\ "/>
    <numFmt numFmtId="166" formatCode="00#"/>
    <numFmt numFmtId="167" formatCode="\T\P\ ##"/>
    <numFmt numFmtId="168" formatCode="#,##0_ ;\-#,##0\ "/>
    <numFmt numFmtId="169" formatCode="#,##0.00_ ;\-#,##0.00\ "/>
    <numFmt numFmtId="170" formatCode="0000"/>
    <numFmt numFmtId="171" formatCode="[$$-409]#,##0.000_ ;\-[$$-409]#,##0.000\ "/>
    <numFmt numFmtId="172" formatCode="[$-409]d\-mmm\-yyyy;@"/>
    <numFmt numFmtId="173" formatCode="[$-F800]dddd\,\ mmmm\ dd\,\ yyyy"/>
  </numFmts>
  <fonts count="63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 tint="-4.9989318521683403E-2"/>
      <name val="Calibri"/>
      <family val="2"/>
      <scheme val="minor"/>
    </font>
    <font>
      <b/>
      <sz val="18"/>
      <color theme="9" tint="-0.249977111117893"/>
      <name val="Calibri"/>
      <family val="2"/>
      <scheme val="minor"/>
    </font>
    <font>
      <b/>
      <sz val="18"/>
      <color theme="1"/>
      <name val="Calibri"/>
      <family val="2"/>
      <scheme val="minor"/>
    </font>
    <font>
      <i/>
      <sz val="11"/>
      <color theme="1" tint="0.249977111117893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i/>
      <sz val="10"/>
      <color theme="4" tint="-0.249977111117893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1"/>
      <color theme="1"/>
      <name val="Calibri"/>
      <family val="2"/>
      <scheme val="minor"/>
    </font>
    <font>
      <i/>
      <sz val="8"/>
      <color theme="1"/>
      <name val="Calibri"/>
      <family val="2"/>
      <scheme val="minor"/>
    </font>
    <font>
      <i/>
      <sz val="10"/>
      <color theme="1"/>
      <name val="Calibri"/>
      <family val="2"/>
      <scheme val="minor"/>
    </font>
    <font>
      <b/>
      <i/>
      <sz val="10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i/>
      <sz val="14"/>
      <color theme="1" tint="0.249977111117893"/>
      <name val="Calibri"/>
      <family val="2"/>
      <scheme val="minor"/>
    </font>
    <font>
      <u/>
      <sz val="11"/>
      <color theme="4" tint="0.39997558519241921"/>
      <name val="Calibri"/>
      <family val="2"/>
      <scheme val="minor"/>
    </font>
    <font>
      <u/>
      <sz val="9"/>
      <color theme="4" tint="0.39997558519241921"/>
      <name val="Calibri"/>
      <family val="2"/>
      <scheme val="minor"/>
    </font>
    <font>
      <b/>
      <i/>
      <sz val="26"/>
      <color theme="1" tint="0.249977111117893"/>
      <name val="Calibri"/>
      <family val="2"/>
      <scheme val="minor"/>
    </font>
    <font>
      <b/>
      <sz val="11"/>
      <color theme="4" tint="-0.249977111117893"/>
      <name val="Calibri"/>
      <family val="2"/>
      <scheme val="minor"/>
    </font>
    <font>
      <b/>
      <sz val="10"/>
      <color theme="4" tint="-0.249977111117893"/>
      <name val="Calibri"/>
      <family val="2"/>
      <scheme val="minor"/>
    </font>
    <font>
      <i/>
      <sz val="10"/>
      <color rgb="FF0070C0"/>
      <name val="Calibri"/>
      <family val="2"/>
      <scheme val="minor"/>
    </font>
    <font>
      <b/>
      <i/>
      <sz val="10"/>
      <color theme="4" tint="-0.249977111117893"/>
      <name val="Calibri"/>
      <family val="2"/>
      <scheme val="minor"/>
    </font>
    <font>
      <b/>
      <i/>
      <sz val="11"/>
      <color rgb="FF0070C0"/>
      <name val="Calibri"/>
      <family val="2"/>
      <scheme val="minor"/>
    </font>
    <font>
      <b/>
      <sz val="11"/>
      <color rgb="FF0070C0"/>
      <name val="Calibri"/>
      <family val="2"/>
      <scheme val="minor"/>
    </font>
    <font>
      <b/>
      <sz val="11"/>
      <color theme="3" tint="0.39997558519241921"/>
      <name val="Calibri"/>
      <family val="2"/>
      <scheme val="minor"/>
    </font>
    <font>
      <b/>
      <sz val="10"/>
      <color rgb="FF0070C0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3.5"/>
      <color theme="1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b/>
      <sz val="12"/>
      <color rgb="FF9C6500"/>
      <name val="Calibri"/>
      <family val="2"/>
      <scheme val="minor"/>
    </font>
    <font>
      <b/>
      <sz val="9.5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1"/>
      <color theme="0" tint="-4.9989318521683403E-2"/>
      <name val="Arial Black"/>
      <family val="2"/>
    </font>
    <font>
      <b/>
      <sz val="12"/>
      <color theme="0" tint="-4.9989318521683403E-2"/>
      <name val="Britannic Bold"/>
      <family val="2"/>
    </font>
    <font>
      <b/>
      <sz val="13"/>
      <color theme="1"/>
      <name val="Calibri"/>
      <family val="2"/>
      <scheme val="minor"/>
    </font>
    <font>
      <i/>
      <sz val="13.5"/>
      <color theme="1"/>
      <name val="Calibri"/>
      <family val="2"/>
      <scheme val="minor"/>
    </font>
    <font>
      <sz val="11"/>
      <color rgb="FF002060"/>
      <name val="Calibri"/>
      <family val="2"/>
      <scheme val="minor"/>
    </font>
    <font>
      <b/>
      <i/>
      <sz val="9"/>
      <color theme="4" tint="-0.249977111117893"/>
      <name val="Calibri"/>
      <family val="2"/>
      <scheme val="minor"/>
    </font>
    <font>
      <sz val="11"/>
      <color theme="1"/>
      <name val="AnmolLipi"/>
    </font>
    <font>
      <b/>
      <sz val="10"/>
      <color theme="3" tint="0.39997558519241921"/>
      <name val="Calibri"/>
      <family val="2"/>
      <scheme val="minor"/>
    </font>
    <font>
      <sz val="8"/>
      <name val="Calibri"/>
      <family val="2"/>
      <scheme val="minor"/>
    </font>
    <font>
      <sz val="11"/>
      <name val="Calibri"/>
      <family val="2"/>
      <scheme val="minor"/>
    </font>
    <font>
      <b/>
      <i/>
      <sz val="14"/>
      <color theme="1" tint="0.499984740745262"/>
      <name val="Calibri"/>
      <family val="2"/>
      <scheme val="minor"/>
    </font>
    <font>
      <sz val="14"/>
      <color theme="1"/>
      <name val="Calibri"/>
      <family val="2"/>
      <scheme val="minor"/>
    </font>
    <font>
      <sz val="9"/>
      <name val="Calibri"/>
      <family val="2"/>
      <scheme val="minor"/>
    </font>
    <font>
      <sz val="13"/>
      <color rgb="FF000000"/>
      <name val="G_d0_f3"/>
    </font>
    <font>
      <b/>
      <sz val="11"/>
      <color rgb="FF767676"/>
      <name val="Arial"/>
      <family val="2"/>
    </font>
    <font>
      <b/>
      <i/>
      <sz val="9"/>
      <color theme="1"/>
      <name val="Calibri"/>
      <family val="2"/>
      <scheme val="minor"/>
    </font>
    <font>
      <u/>
      <sz val="14"/>
      <color rgb="FF00B0F0"/>
      <name val="Calibri"/>
      <family val="2"/>
      <scheme val="minor"/>
    </font>
    <font>
      <b/>
      <sz val="12"/>
      <color theme="1" tint="0.249977111117893"/>
      <name val="Calibri"/>
      <family val="2"/>
      <scheme val="minor"/>
    </font>
    <font>
      <sz val="10"/>
      <color theme="1"/>
      <name val="Calibri"/>
      <family val="2"/>
      <scheme val="minor"/>
    </font>
    <font>
      <sz val="11"/>
      <color rgb="FF000000"/>
      <name val="Calibri"/>
      <family val="2"/>
    </font>
  </fonts>
  <fills count="1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C6EFCE"/>
      </patternFill>
    </fill>
    <fill>
      <patternFill patternType="solid">
        <fgColor theme="7"/>
      </patternFill>
    </fill>
    <fill>
      <patternFill patternType="solid">
        <fgColor rgb="FFFFEB9C"/>
      </patternFill>
    </fill>
    <fill>
      <patternFill patternType="solid">
        <fgColor theme="9" tint="0.79998168889431442"/>
        <bgColor theme="9" tint="0.79998168889431442"/>
      </patternFill>
    </fill>
    <fill>
      <patternFill patternType="solid">
        <fgColor theme="9" tint="0.59999389629810485"/>
        <bgColor theme="9" tint="0.59999389629810485"/>
      </patternFill>
    </fill>
    <fill>
      <patternFill patternType="solid">
        <fgColor theme="3" tint="0.39997558519241921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8" tint="0.39997558519241921"/>
        <bgColor indexed="64"/>
      </patternFill>
    </fill>
  </fills>
  <borders count="27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 style="thin">
        <color theme="0"/>
      </right>
      <top style="thin">
        <color theme="0"/>
      </top>
      <bottom/>
      <diagonal/>
    </border>
    <border>
      <left style="thin">
        <color theme="0"/>
      </left>
      <right style="thin">
        <color theme="0"/>
      </right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7">
    <xf numFmtId="165" fontId="0" fillId="0" borderId="0"/>
    <xf numFmtId="164" fontId="3" fillId="0" borderId="0" applyFont="0" applyFill="0" applyBorder="0" applyAlignment="0" applyProtection="0"/>
    <xf numFmtId="165" fontId="4" fillId="0" borderId="0" applyNumberFormat="0" applyFill="0" applyBorder="0" applyAlignment="0" applyProtection="0"/>
    <xf numFmtId="165" fontId="35" fillId="7" borderId="0" applyNumberFormat="0" applyBorder="0" applyAlignment="0" applyProtection="0"/>
    <xf numFmtId="165" fontId="36" fillId="8" borderId="0" applyNumberFormat="0" applyBorder="0" applyAlignment="0" applyProtection="0"/>
    <xf numFmtId="165" fontId="37" fillId="9" borderId="0" applyNumberFormat="0" applyBorder="0" applyAlignment="0" applyProtection="0"/>
    <xf numFmtId="0" fontId="2" fillId="0" borderId="0"/>
  </cellStyleXfs>
  <cellXfs count="268">
    <xf numFmtId="165" fontId="0" fillId="0" borderId="0" xfId="0"/>
    <xf numFmtId="165" fontId="0" fillId="0" borderId="0" xfId="0" applyAlignment="1">
      <alignment horizontal="left" indent="1"/>
    </xf>
    <xf numFmtId="165" fontId="0" fillId="2" borderId="0" xfId="0" applyFill="1"/>
    <xf numFmtId="165" fontId="0" fillId="2" borderId="0" xfId="0" applyFill="1" applyBorder="1" applyAlignment="1" applyProtection="1">
      <alignment horizontal="left" indent="1"/>
    </xf>
    <xf numFmtId="165" fontId="0" fillId="2" borderId="0" xfId="0" applyFill="1" applyBorder="1" applyAlignment="1" applyProtection="1"/>
    <xf numFmtId="165" fontId="0" fillId="2" borderId="0" xfId="0" applyFill="1" applyBorder="1" applyProtection="1"/>
    <xf numFmtId="165" fontId="0" fillId="2" borderId="0" xfId="0" applyFill="1" applyBorder="1"/>
    <xf numFmtId="165" fontId="0" fillId="3" borderId="0" xfId="0" applyFill="1"/>
    <xf numFmtId="165" fontId="4" fillId="0" borderId="0" xfId="2"/>
    <xf numFmtId="14" fontId="0" fillId="2" borderId="0" xfId="0" applyNumberFormat="1" applyFill="1" applyBorder="1" applyAlignment="1" applyProtection="1">
      <alignment horizontal="right"/>
      <protection locked="0"/>
    </xf>
    <xf numFmtId="165" fontId="0" fillId="4" borderId="0" xfId="0" applyFill="1" applyBorder="1"/>
    <xf numFmtId="165" fontId="0" fillId="4" borderId="0" xfId="0" applyFill="1"/>
    <xf numFmtId="165" fontId="0" fillId="5" borderId="0" xfId="0" applyFill="1"/>
    <xf numFmtId="165" fontId="7" fillId="5" borderId="0" xfId="0" applyFont="1" applyFill="1"/>
    <xf numFmtId="165" fontId="8" fillId="5" borderId="0" xfId="0" applyFont="1" applyFill="1"/>
    <xf numFmtId="165" fontId="5" fillId="0" borderId="1" xfId="0" applyFont="1" applyBorder="1" applyAlignment="1">
      <alignment horizontal="left" indent="1"/>
    </xf>
    <xf numFmtId="165" fontId="0" fillId="2" borderId="3" xfId="0" applyNumberFormat="1" applyFill="1" applyBorder="1" applyAlignment="1" applyProtection="1">
      <alignment horizontal="left" indent="1"/>
    </xf>
    <xf numFmtId="165" fontId="0" fillId="2" borderId="6" xfId="0" applyFill="1" applyBorder="1" applyProtection="1"/>
    <xf numFmtId="165" fontId="0" fillId="2" borderId="4" xfId="0" applyFill="1" applyBorder="1" applyAlignment="1" applyProtection="1">
      <alignment horizontal="center"/>
    </xf>
    <xf numFmtId="165" fontId="5" fillId="2" borderId="7" xfId="0" applyFont="1" applyFill="1" applyBorder="1" applyAlignment="1" applyProtection="1">
      <alignment horizontal="right"/>
    </xf>
    <xf numFmtId="165" fontId="13" fillId="2" borderId="3" xfId="0" applyFont="1" applyFill="1" applyBorder="1" applyProtection="1"/>
    <xf numFmtId="165" fontId="0" fillId="2" borderId="2" xfId="0" applyFill="1" applyBorder="1"/>
    <xf numFmtId="165" fontId="0" fillId="2" borderId="3" xfId="0" applyFill="1" applyBorder="1"/>
    <xf numFmtId="165" fontId="14" fillId="2" borderId="3" xfId="0" applyFont="1" applyFill="1" applyBorder="1" applyProtection="1"/>
    <xf numFmtId="165" fontId="15" fillId="2" borderId="2" xfId="0" applyFont="1" applyFill="1" applyBorder="1" applyProtection="1"/>
    <xf numFmtId="165" fontId="5" fillId="2" borderId="6" xfId="0" applyFont="1" applyFill="1" applyBorder="1" applyAlignment="1" applyProtection="1">
      <alignment horizontal="right"/>
    </xf>
    <xf numFmtId="165" fontId="16" fillId="2" borderId="3" xfId="0" applyFont="1" applyFill="1" applyBorder="1" applyAlignment="1" applyProtection="1"/>
    <xf numFmtId="165" fontId="0" fillId="0" borderId="5" xfId="0" applyBorder="1"/>
    <xf numFmtId="165" fontId="0" fillId="2" borderId="9" xfId="0" applyFill="1" applyBorder="1"/>
    <xf numFmtId="165" fontId="0" fillId="2" borderId="5" xfId="0" applyFill="1" applyBorder="1"/>
    <xf numFmtId="165" fontId="0" fillId="2" borderId="6" xfId="0" applyFill="1" applyBorder="1"/>
    <xf numFmtId="165" fontId="0" fillId="2" borderId="3" xfId="0" applyFill="1" applyBorder="1" applyAlignment="1" applyProtection="1">
      <alignment horizontal="center"/>
    </xf>
    <xf numFmtId="165" fontId="14" fillId="2" borderId="4" xfId="0" applyFont="1" applyFill="1" applyBorder="1" applyProtection="1"/>
    <xf numFmtId="165" fontId="17" fillId="2" borderId="2" xfId="0" applyFont="1" applyFill="1" applyBorder="1"/>
    <xf numFmtId="165" fontId="5" fillId="2" borderId="3" xfId="0" applyFont="1" applyFill="1" applyBorder="1"/>
    <xf numFmtId="166" fontId="5" fillId="6" borderId="0" xfId="0" applyNumberFormat="1" applyFont="1" applyFill="1" applyBorder="1" applyAlignment="1" applyProtection="1">
      <alignment horizontal="left" vertical="center"/>
      <protection locked="0"/>
    </xf>
    <xf numFmtId="165" fontId="19" fillId="6" borderId="3" xfId="0" applyFont="1" applyFill="1" applyBorder="1" applyAlignment="1">
      <alignment horizontal="center"/>
    </xf>
    <xf numFmtId="165" fontId="20" fillId="6" borderId="0" xfId="0" applyFont="1" applyFill="1" applyBorder="1" applyAlignment="1">
      <alignment horizontal="center"/>
    </xf>
    <xf numFmtId="165" fontId="20" fillId="6" borderId="6" xfId="0" applyFont="1" applyFill="1" applyBorder="1" applyAlignment="1">
      <alignment horizontal="center"/>
    </xf>
    <xf numFmtId="165" fontId="27" fillId="2" borderId="8" xfId="0" applyFont="1" applyFill="1" applyBorder="1" applyAlignment="1" applyProtection="1">
      <alignment horizontal="left" vertical="center"/>
    </xf>
    <xf numFmtId="165" fontId="11" fillId="2" borderId="8" xfId="0" applyFont="1" applyFill="1" applyBorder="1" applyAlignment="1" applyProtection="1">
      <alignment vertical="center"/>
    </xf>
    <xf numFmtId="165" fontId="28" fillId="2" borderId="8" xfId="0" applyFont="1" applyFill="1" applyBorder="1" applyAlignment="1" applyProtection="1">
      <alignment vertical="center"/>
    </xf>
    <xf numFmtId="165" fontId="29" fillId="2" borderId="8" xfId="0" applyFont="1" applyFill="1" applyBorder="1" applyAlignment="1" applyProtection="1">
      <alignment horizontal="left" vertical="center"/>
    </xf>
    <xf numFmtId="165" fontId="5" fillId="2" borderId="0" xfId="0" applyFont="1" applyFill="1" applyBorder="1" applyAlignment="1">
      <alignment horizontal="right" vertical="center"/>
    </xf>
    <xf numFmtId="165" fontId="12" fillId="2" borderId="6" xfId="0" applyFont="1" applyFill="1" applyBorder="1" applyAlignment="1">
      <alignment horizontal="center" vertical="center"/>
    </xf>
    <xf numFmtId="165" fontId="10" fillId="2" borderId="12" xfId="0" applyFont="1" applyFill="1" applyBorder="1" applyAlignment="1">
      <alignment horizontal="right"/>
    </xf>
    <xf numFmtId="9" fontId="10" fillId="2" borderId="8" xfId="0" applyNumberFormat="1" applyFont="1" applyFill="1" applyBorder="1" applyAlignment="1">
      <alignment horizontal="center" vertical="center"/>
    </xf>
    <xf numFmtId="165" fontId="31" fillId="0" borderId="0" xfId="0" applyFont="1" applyAlignment="1">
      <alignment horizontal="center" vertical="center"/>
    </xf>
    <xf numFmtId="165" fontId="0" fillId="4" borderId="0" xfId="0" applyFill="1" applyBorder="1" applyAlignment="1">
      <alignment vertical="center"/>
    </xf>
    <xf numFmtId="165" fontId="9" fillId="2" borderId="0" xfId="0" applyFont="1" applyFill="1" applyBorder="1" applyAlignment="1">
      <alignment vertical="center"/>
    </xf>
    <xf numFmtId="165" fontId="0" fillId="4" borderId="0" xfId="0" applyFill="1" applyAlignment="1">
      <alignment vertical="center"/>
    </xf>
    <xf numFmtId="165" fontId="0" fillId="2" borderId="0" xfId="0" applyFill="1" applyAlignment="1">
      <alignment vertical="center"/>
    </xf>
    <xf numFmtId="165" fontId="0" fillId="0" borderId="0" xfId="0" applyAlignment="1">
      <alignment vertical="center"/>
    </xf>
    <xf numFmtId="165" fontId="21" fillId="2" borderId="6" xfId="0" applyFont="1" applyFill="1" applyBorder="1" applyAlignment="1">
      <alignment horizontal="center" vertical="center"/>
    </xf>
    <xf numFmtId="165" fontId="12" fillId="0" borderId="0" xfId="0" applyFont="1" applyAlignment="1">
      <alignment vertical="center"/>
    </xf>
    <xf numFmtId="165" fontId="12" fillId="0" borderId="0" xfId="0" applyFont="1" applyAlignment="1">
      <alignment horizontal="center" vertical="center"/>
    </xf>
    <xf numFmtId="165" fontId="31" fillId="0" borderId="0" xfId="0" applyFont="1" applyBorder="1" applyAlignment="1">
      <alignment horizontal="center" vertical="center"/>
    </xf>
    <xf numFmtId="167" fontId="32" fillId="0" borderId="3" xfId="0" applyNumberFormat="1" applyFont="1" applyFill="1" applyBorder="1" applyAlignment="1">
      <alignment vertical="center"/>
    </xf>
    <xf numFmtId="165" fontId="12" fillId="2" borderId="3" xfId="0" applyFont="1" applyFill="1" applyBorder="1" applyAlignment="1">
      <alignment horizontal="left" indent="1"/>
    </xf>
    <xf numFmtId="169" fontId="33" fillId="2" borderId="17" xfId="1" applyNumberFormat="1" applyFont="1" applyFill="1" applyBorder="1" applyAlignment="1">
      <alignment horizontal="right" vertical="center"/>
    </xf>
    <xf numFmtId="165" fontId="0" fillId="4" borderId="0" xfId="0" applyFill="1" applyAlignment="1">
      <alignment horizontal="center" vertical="center"/>
    </xf>
    <xf numFmtId="165" fontId="0" fillId="4" borderId="8" xfId="0" applyFill="1" applyBorder="1" applyAlignment="1">
      <alignment vertical="center"/>
    </xf>
    <xf numFmtId="164" fontId="0" fillId="2" borderId="8" xfId="1" applyFont="1" applyFill="1" applyBorder="1" applyAlignment="1">
      <alignment vertical="center"/>
    </xf>
    <xf numFmtId="164" fontId="36" fillId="8" borderId="8" xfId="4" applyNumberFormat="1" applyBorder="1" applyAlignment="1">
      <alignment vertical="center"/>
    </xf>
    <xf numFmtId="165" fontId="35" fillId="7" borderId="10" xfId="3" applyBorder="1" applyAlignment="1">
      <alignment vertical="center"/>
    </xf>
    <xf numFmtId="165" fontId="0" fillId="10" borderId="19" xfId="0" applyFont="1" applyFill="1" applyBorder="1"/>
    <xf numFmtId="165" fontId="0" fillId="11" borderId="19" xfId="0" applyFont="1" applyFill="1" applyBorder="1"/>
    <xf numFmtId="165" fontId="39" fillId="6" borderId="3" xfId="0" applyFont="1" applyFill="1" applyBorder="1" applyAlignment="1">
      <alignment horizontal="center" vertical="center"/>
    </xf>
    <xf numFmtId="165" fontId="0" fillId="0" borderId="0" xfId="0" applyBorder="1"/>
    <xf numFmtId="165" fontId="5" fillId="2" borderId="0" xfId="0" applyFont="1" applyFill="1" applyBorder="1" applyAlignment="1">
      <alignment horizontal="center"/>
    </xf>
    <xf numFmtId="165" fontId="5" fillId="0" borderId="0" xfId="0" applyFont="1" applyBorder="1" applyAlignment="1">
      <alignment vertical="center"/>
    </xf>
    <xf numFmtId="165" fontId="5" fillId="0" borderId="0" xfId="0" applyFont="1" applyBorder="1"/>
    <xf numFmtId="22" fontId="40" fillId="0" borderId="0" xfId="0" applyNumberFormat="1" applyFont="1" applyBorder="1"/>
    <xf numFmtId="165" fontId="0" fillId="0" borderId="6" xfId="0" applyBorder="1"/>
    <xf numFmtId="165" fontId="0" fillId="0" borderId="11" xfId="0" applyBorder="1"/>
    <xf numFmtId="165" fontId="0" fillId="0" borderId="9" xfId="0" applyBorder="1"/>
    <xf numFmtId="165" fontId="0" fillId="14" borderId="0" xfId="0" applyFill="1"/>
    <xf numFmtId="165" fontId="0" fillId="0" borderId="0" xfId="0" applyFill="1"/>
    <xf numFmtId="165" fontId="0" fillId="0" borderId="3" xfId="0" applyBorder="1"/>
    <xf numFmtId="165" fontId="0" fillId="0" borderId="4" xfId="0" applyBorder="1"/>
    <xf numFmtId="165" fontId="0" fillId="0" borderId="1" xfId="0" applyBorder="1"/>
    <xf numFmtId="165" fontId="0" fillId="0" borderId="7" xfId="0" applyBorder="1"/>
    <xf numFmtId="165" fontId="41" fillId="0" borderId="0" xfId="0" applyFont="1" applyBorder="1" applyAlignment="1">
      <alignment vertical="center"/>
    </xf>
    <xf numFmtId="165" fontId="0" fillId="0" borderId="2" xfId="0" applyBorder="1"/>
    <xf numFmtId="165" fontId="6" fillId="0" borderId="0" xfId="0" applyFont="1"/>
    <xf numFmtId="165" fontId="6" fillId="12" borderId="0" xfId="0" applyFont="1" applyFill="1"/>
    <xf numFmtId="165" fontId="0" fillId="15" borderId="8" xfId="0" applyFont="1" applyFill="1" applyBorder="1" applyAlignment="1">
      <alignment horizontal="right"/>
    </xf>
    <xf numFmtId="14" fontId="0" fillId="15" borderId="8" xfId="0" applyNumberFormat="1" applyFont="1" applyFill="1" applyBorder="1" applyAlignment="1">
      <alignment horizontal="right"/>
    </xf>
    <xf numFmtId="170" fontId="0" fillId="15" borderId="8" xfId="0" applyNumberFormat="1" applyFont="1" applyFill="1" applyBorder="1" applyAlignment="1">
      <alignment horizontal="right"/>
    </xf>
    <xf numFmtId="165" fontId="6" fillId="12" borderId="0" xfId="0" applyFont="1" applyFill="1" applyProtection="1">
      <protection locked="0"/>
    </xf>
    <xf numFmtId="165" fontId="44" fillId="13" borderId="8" xfId="0" applyFont="1" applyFill="1" applyBorder="1" applyAlignment="1" applyProtection="1">
      <alignment horizontal="center"/>
      <protection locked="0"/>
    </xf>
    <xf numFmtId="165" fontId="0" fillId="2" borderId="2" xfId="0" applyFill="1" applyBorder="1" applyAlignment="1">
      <alignment horizontal="center"/>
    </xf>
    <xf numFmtId="165" fontId="0" fillId="2" borderId="9" xfId="0" applyFill="1" applyBorder="1" applyAlignment="1">
      <alignment horizontal="center"/>
    </xf>
    <xf numFmtId="165" fontId="0" fillId="2" borderId="9" xfId="0" applyFill="1" applyBorder="1" applyAlignment="1">
      <alignment horizontal="right"/>
    </xf>
    <xf numFmtId="14" fontId="42" fillId="2" borderId="9" xfId="0" applyNumberFormat="1" applyFont="1" applyFill="1" applyBorder="1" applyAlignment="1">
      <alignment horizontal="center"/>
    </xf>
    <xf numFmtId="165" fontId="0" fillId="2" borderId="10" xfId="0" applyFill="1" applyBorder="1" applyAlignment="1">
      <alignment horizontal="center"/>
    </xf>
    <xf numFmtId="165" fontId="0" fillId="2" borderId="20" xfId="0" applyFill="1" applyBorder="1"/>
    <xf numFmtId="165" fontId="0" fillId="2" borderId="11" xfId="0" applyFill="1" applyBorder="1"/>
    <xf numFmtId="165" fontId="5" fillId="2" borderId="2" xfId="0" applyFont="1" applyFill="1" applyBorder="1" applyAlignment="1">
      <alignment horizontal="center" vertical="center"/>
    </xf>
    <xf numFmtId="165" fontId="0" fillId="2" borderId="10" xfId="0" applyFill="1" applyBorder="1"/>
    <xf numFmtId="2" fontId="0" fillId="0" borderId="11" xfId="0" applyNumberFormat="1" applyBorder="1" applyAlignment="1">
      <alignment vertical="center"/>
    </xf>
    <xf numFmtId="165" fontId="0" fillId="0" borderId="3" xfId="0" applyBorder="1" applyAlignment="1">
      <alignment horizontal="center"/>
    </xf>
    <xf numFmtId="165" fontId="45" fillId="0" borderId="2" xfId="0" applyFont="1" applyBorder="1" applyAlignment="1">
      <alignment horizontal="center" vertical="center"/>
    </xf>
    <xf numFmtId="165" fontId="41" fillId="2" borderId="5" xfId="0" applyFont="1" applyFill="1" applyBorder="1" applyAlignment="1">
      <alignment horizontal="center" vertical="center"/>
    </xf>
    <xf numFmtId="2" fontId="45" fillId="0" borderId="0" xfId="0" applyNumberFormat="1" applyFont="1" applyBorder="1" applyAlignment="1">
      <alignment vertical="center"/>
    </xf>
    <xf numFmtId="2" fontId="45" fillId="0" borderId="11" xfId="0" applyNumberFormat="1" applyFont="1" applyBorder="1" applyAlignment="1">
      <alignment vertical="center"/>
    </xf>
    <xf numFmtId="165" fontId="0" fillId="15" borderId="8" xfId="0" applyFill="1" applyBorder="1" applyAlignment="1">
      <alignment horizontal="right"/>
    </xf>
    <xf numFmtId="14" fontId="18" fillId="2" borderId="5" xfId="0" applyNumberFormat="1" applyFont="1" applyFill="1" applyBorder="1"/>
    <xf numFmtId="165" fontId="20" fillId="0" borderId="0" xfId="0" applyFont="1" applyBorder="1" applyAlignment="1">
      <alignment horizontal="center" vertical="center"/>
    </xf>
    <xf numFmtId="165" fontId="36" fillId="12" borderId="0" xfId="0" applyFont="1" applyFill="1" applyAlignment="1">
      <alignment horizontal="right"/>
    </xf>
    <xf numFmtId="165" fontId="47" fillId="17" borderId="0" xfId="0" applyFont="1" applyFill="1"/>
    <xf numFmtId="165" fontId="45" fillId="0" borderId="3" xfId="0" applyFont="1" applyBorder="1" applyAlignment="1">
      <alignment horizontal="center" vertical="center"/>
    </xf>
    <xf numFmtId="165" fontId="5" fillId="0" borderId="1" xfId="0" applyFont="1" applyBorder="1" applyAlignment="1">
      <alignment vertical="center"/>
    </xf>
    <xf numFmtId="165" fontId="5" fillId="0" borderId="1" xfId="0" applyFont="1" applyBorder="1"/>
    <xf numFmtId="22" fontId="40" fillId="0" borderId="1" xfId="0" applyNumberFormat="1" applyFont="1" applyBorder="1"/>
    <xf numFmtId="165" fontId="18" fillId="0" borderId="0" xfId="0" applyFont="1" applyAlignment="1">
      <alignment horizontal="left" indent="1"/>
    </xf>
    <xf numFmtId="2" fontId="35" fillId="7" borderId="10" xfId="3" applyNumberFormat="1" applyBorder="1" applyAlignment="1">
      <alignment vertical="center"/>
    </xf>
    <xf numFmtId="165" fontId="0" fillId="0" borderId="0" xfId="0" applyFill="1" applyBorder="1"/>
    <xf numFmtId="168" fontId="0" fillId="4" borderId="0" xfId="0" applyNumberFormat="1" applyFill="1"/>
    <xf numFmtId="1" fontId="45" fillId="0" borderId="8" xfId="0" applyNumberFormat="1" applyFont="1" applyBorder="1" applyAlignment="1">
      <alignment vertical="center"/>
    </xf>
    <xf numFmtId="1" fontId="45" fillId="0" borderId="11" xfId="0" applyNumberFormat="1" applyFont="1" applyBorder="1" applyAlignment="1">
      <alignment vertical="center"/>
    </xf>
    <xf numFmtId="165" fontId="12" fillId="0" borderId="0" xfId="0" applyFont="1" applyFill="1" applyBorder="1" applyAlignment="1">
      <alignment vertical="center"/>
    </xf>
    <xf numFmtId="165" fontId="26" fillId="2" borderId="0" xfId="0" applyFont="1" applyFill="1" applyBorder="1" applyAlignment="1" applyProtection="1">
      <alignment horizontal="left" vertical="center"/>
      <protection locked="0"/>
    </xf>
    <xf numFmtId="1" fontId="0" fillId="0" borderId="0" xfId="0" applyNumberFormat="1" applyAlignment="1">
      <alignment horizontal="left" indent="1"/>
    </xf>
    <xf numFmtId="1" fontId="0" fillId="15" borderId="8" xfId="0" applyNumberFormat="1" applyFont="1" applyFill="1" applyBorder="1" applyAlignment="1">
      <alignment horizontal="right"/>
    </xf>
    <xf numFmtId="1" fontId="0" fillId="2" borderId="9" xfId="0" applyNumberFormat="1" applyFill="1" applyBorder="1" applyAlignment="1">
      <alignment horizontal="center"/>
    </xf>
    <xf numFmtId="165" fontId="0" fillId="5" borderId="0" xfId="0" applyFill="1" applyAlignment="1">
      <alignment horizontal="center"/>
    </xf>
    <xf numFmtId="165" fontId="0" fillId="3" borderId="0" xfId="0" applyFill="1" applyAlignment="1">
      <alignment horizontal="center"/>
    </xf>
    <xf numFmtId="1" fontId="0" fillId="0" borderId="0" xfId="0" applyNumberFormat="1" applyAlignment="1">
      <alignment horizontal="center"/>
    </xf>
    <xf numFmtId="165" fontId="0" fillId="0" borderId="0" xfId="0" applyAlignment="1">
      <alignment horizontal="center"/>
    </xf>
    <xf numFmtId="1" fontId="5" fillId="0" borderId="1" xfId="0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right" indent="1"/>
    </xf>
    <xf numFmtId="1" fontId="0" fillId="0" borderId="0" xfId="0" applyNumberFormat="1" applyAlignment="1">
      <alignment horizontal="right" indent="1"/>
    </xf>
    <xf numFmtId="1" fontId="0" fillId="0" borderId="0" xfId="1" applyNumberFormat="1" applyFont="1" applyAlignment="1">
      <alignment horizontal="right" indent="1"/>
    </xf>
    <xf numFmtId="14" fontId="0" fillId="0" borderId="0" xfId="0" applyNumberFormat="1" applyAlignment="1">
      <alignment horizontal="left" indent="1"/>
    </xf>
    <xf numFmtId="165" fontId="10" fillId="2" borderId="11" xfId="0" applyFont="1" applyFill="1" applyBorder="1" applyAlignment="1">
      <alignment horizontal="right" vertical="center"/>
    </xf>
    <xf numFmtId="165" fontId="0" fillId="11" borderId="0" xfId="0" applyFont="1" applyFill="1" applyBorder="1"/>
    <xf numFmtId="168" fontId="0" fillId="0" borderId="0" xfId="0" applyNumberFormat="1"/>
    <xf numFmtId="12" fontId="0" fillId="0" borderId="0" xfId="0" applyNumberFormat="1"/>
    <xf numFmtId="165" fontId="48" fillId="2" borderId="8" xfId="0" applyFont="1" applyFill="1" applyBorder="1" applyAlignment="1" applyProtection="1">
      <alignment vertical="center"/>
    </xf>
    <xf numFmtId="14" fontId="5" fillId="0" borderId="1" xfId="0" applyNumberFormat="1" applyFont="1" applyBorder="1" applyAlignment="1">
      <alignment horizontal="left" indent="1"/>
    </xf>
    <xf numFmtId="165" fontId="49" fillId="0" borderId="0" xfId="0" applyFont="1"/>
    <xf numFmtId="2" fontId="0" fillId="0" borderId="0" xfId="0" applyNumberFormat="1"/>
    <xf numFmtId="1" fontId="0" fillId="0" borderId="0" xfId="0" applyNumberFormat="1"/>
    <xf numFmtId="0" fontId="0" fillId="0" borderId="0" xfId="0" applyNumberFormat="1"/>
    <xf numFmtId="14" fontId="0" fillId="15" borderId="8" xfId="0" applyNumberFormat="1" applyFill="1" applyBorder="1" applyAlignment="1">
      <alignment horizontal="right"/>
    </xf>
    <xf numFmtId="165" fontId="5" fillId="15" borderId="8" xfId="0" applyFont="1" applyFill="1" applyBorder="1" applyAlignment="1">
      <alignment horizontal="right"/>
    </xf>
    <xf numFmtId="165" fontId="5" fillId="2" borderId="9" xfId="0" applyFont="1" applyFill="1" applyBorder="1" applyAlignment="1">
      <alignment horizontal="center"/>
    </xf>
    <xf numFmtId="1" fontId="0" fillId="0" borderId="11" xfId="0" applyNumberFormat="1" applyBorder="1" applyAlignment="1">
      <alignment vertical="center"/>
    </xf>
    <xf numFmtId="1" fontId="0" fillId="0" borderId="0" xfId="1" applyNumberFormat="1" applyFont="1" applyBorder="1" applyAlignment="1">
      <alignment horizontal="right" indent="1"/>
    </xf>
    <xf numFmtId="1" fontId="0" fillId="0" borderId="11" xfId="0" applyNumberFormat="1" applyBorder="1"/>
    <xf numFmtId="165" fontId="50" fillId="0" borderId="0" xfId="0" applyFont="1" applyAlignment="1">
      <alignment horizontal="center" vertical="center"/>
    </xf>
    <xf numFmtId="165" fontId="20" fillId="2" borderId="0" xfId="0" applyFont="1" applyFill="1"/>
    <xf numFmtId="165" fontId="20" fillId="2" borderId="0" xfId="0" applyFont="1" applyFill="1" applyAlignment="1">
      <alignment horizontal="center"/>
    </xf>
    <xf numFmtId="1" fontId="20" fillId="2" borderId="0" xfId="0" applyNumberFormat="1" applyFont="1" applyFill="1"/>
    <xf numFmtId="2" fontId="0" fillId="4" borderId="0" xfId="0" applyNumberFormat="1" applyFill="1"/>
    <xf numFmtId="165" fontId="51" fillId="2" borderId="3" xfId="0" applyFont="1" applyFill="1" applyBorder="1" applyAlignment="1">
      <alignment vertical="center"/>
    </xf>
    <xf numFmtId="49" fontId="25" fillId="2" borderId="3" xfId="0" applyNumberFormat="1" applyFont="1" applyFill="1" applyBorder="1" applyAlignment="1" applyProtection="1">
      <alignment vertical="center"/>
      <protection locked="0"/>
    </xf>
    <xf numFmtId="0" fontId="30" fillId="2" borderId="8" xfId="0" applyNumberFormat="1" applyFont="1" applyFill="1" applyBorder="1" applyAlignment="1" applyProtection="1">
      <alignment horizontal="left" vertical="center"/>
    </xf>
    <xf numFmtId="0" fontId="29" fillId="2" borderId="8" xfId="0" applyNumberFormat="1" applyFont="1" applyFill="1" applyBorder="1" applyAlignment="1" applyProtection="1">
      <alignment horizontal="left" vertical="center"/>
    </xf>
    <xf numFmtId="165" fontId="10" fillId="2" borderId="8" xfId="0" applyFont="1" applyFill="1" applyBorder="1" applyAlignment="1">
      <alignment horizontal="right"/>
    </xf>
    <xf numFmtId="9" fontId="10" fillId="2" borderId="11" xfId="0" applyNumberFormat="1" applyFont="1" applyFill="1" applyBorder="1" applyAlignment="1">
      <alignment horizontal="right"/>
    </xf>
    <xf numFmtId="172" fontId="0" fillId="0" borderId="0" xfId="0" applyNumberFormat="1" applyAlignment="1">
      <alignment horizontal="left" indent="1"/>
    </xf>
    <xf numFmtId="165" fontId="52" fillId="16" borderId="0" xfId="0" applyFont="1" applyFill="1"/>
    <xf numFmtId="172" fontId="9" fillId="2" borderId="6" xfId="0" applyNumberFormat="1" applyFont="1" applyFill="1" applyBorder="1" applyAlignment="1">
      <alignment horizontal="center" vertical="center"/>
    </xf>
    <xf numFmtId="165" fontId="0" fillId="10" borderId="23" xfId="0" applyFont="1" applyFill="1" applyBorder="1"/>
    <xf numFmtId="165" fontId="0" fillId="11" borderId="23" xfId="0" applyFont="1" applyFill="1" applyBorder="1"/>
    <xf numFmtId="165" fontId="0" fillId="10" borderId="24" xfId="0" applyFont="1" applyFill="1" applyBorder="1"/>
    <xf numFmtId="165" fontId="0" fillId="11" borderId="25" xfId="0" applyFont="1" applyFill="1" applyBorder="1"/>
    <xf numFmtId="165" fontId="53" fillId="2" borderId="9" xfId="0" applyFont="1" applyFill="1" applyBorder="1" applyAlignment="1">
      <alignment horizontal="center"/>
    </xf>
    <xf numFmtId="165" fontId="4" fillId="11" borderId="23" xfId="2" applyFont="1" applyFill="1" applyBorder="1"/>
    <xf numFmtId="2" fontId="55" fillId="0" borderId="0" xfId="0" applyNumberFormat="1" applyFont="1" applyFill="1" applyBorder="1" applyAlignment="1">
      <alignment vertical="center"/>
    </xf>
    <xf numFmtId="165" fontId="40" fillId="2" borderId="5" xfId="0" applyFont="1" applyFill="1" applyBorder="1" applyAlignment="1" applyProtection="1">
      <alignment horizontal="center"/>
    </xf>
    <xf numFmtId="1" fontId="55" fillId="0" borderId="3" xfId="0" applyNumberFormat="1" applyFont="1" applyFill="1" applyBorder="1" applyAlignment="1">
      <alignment horizontal="center" vertical="center"/>
    </xf>
    <xf numFmtId="165" fontId="51" fillId="0" borderId="0" xfId="0" applyFont="1" applyFill="1" applyBorder="1" applyAlignment="1">
      <alignment vertical="center"/>
    </xf>
    <xf numFmtId="165" fontId="12" fillId="2" borderId="26" xfId="0" applyFont="1" applyFill="1" applyBorder="1" applyAlignment="1">
      <alignment horizontal="left" indent="1"/>
    </xf>
    <xf numFmtId="165" fontId="40" fillId="0" borderId="0" xfId="0" applyFont="1"/>
    <xf numFmtId="165" fontId="12" fillId="0" borderId="0" xfId="0" applyFont="1" applyFill="1" applyBorder="1" applyAlignment="1">
      <alignment vertical="center" wrapText="1"/>
    </xf>
    <xf numFmtId="165" fontId="18" fillId="0" borderId="0" xfId="0" applyFont="1" applyAlignment="1">
      <alignment horizontal="left" wrapText="1" indent="1"/>
    </xf>
    <xf numFmtId="165" fontId="56" fillId="0" borderId="0" xfId="0" applyFont="1"/>
    <xf numFmtId="2" fontId="12" fillId="0" borderId="6" xfId="0" applyNumberFormat="1" applyFont="1" applyFill="1" applyBorder="1" applyAlignment="1">
      <alignment vertical="center"/>
    </xf>
    <xf numFmtId="1" fontId="2" fillId="0" borderId="0" xfId="1" applyNumberFormat="1" applyFont="1" applyAlignment="1">
      <alignment horizontal="right" indent="1"/>
    </xf>
    <xf numFmtId="165" fontId="0" fillId="18" borderId="0" xfId="0" applyFill="1"/>
    <xf numFmtId="2" fontId="12" fillId="0" borderId="0" xfId="0" applyNumberFormat="1" applyFont="1" applyFill="1" applyBorder="1" applyAlignment="1">
      <alignment vertical="center"/>
    </xf>
    <xf numFmtId="173" fontId="54" fillId="2" borderId="6" xfId="0" applyNumberFormat="1" applyFont="1" applyFill="1" applyBorder="1" applyAlignment="1" applyProtection="1">
      <alignment horizontal="center"/>
      <protection locked="0"/>
    </xf>
    <xf numFmtId="1" fontId="0" fillId="0" borderId="0" xfId="0" applyNumberFormat="1" applyBorder="1"/>
    <xf numFmtId="165" fontId="57" fillId="0" borderId="0" xfId="0" applyFont="1"/>
    <xf numFmtId="165" fontId="5" fillId="2" borderId="0" xfId="0" applyFont="1" applyFill="1" applyAlignment="1">
      <alignment horizontal="center"/>
    </xf>
    <xf numFmtId="167" fontId="58" fillId="2" borderId="6" xfId="0" applyNumberFormat="1" applyFont="1" applyFill="1" applyBorder="1" applyAlignment="1">
      <alignment horizontal="center"/>
    </xf>
    <xf numFmtId="167" fontId="58" fillId="2" borderId="0" xfId="0" applyNumberFormat="1" applyFont="1" applyFill="1" applyBorder="1" applyAlignment="1">
      <alignment horizontal="center"/>
    </xf>
    <xf numFmtId="1" fontId="40" fillId="0" borderId="3" xfId="0" applyNumberFormat="1" applyFont="1" applyFill="1" applyBorder="1" applyAlignment="1">
      <alignment horizontal="center" vertical="center"/>
    </xf>
    <xf numFmtId="0" fontId="2" fillId="0" borderId="0" xfId="6"/>
    <xf numFmtId="172" fontId="60" fillId="2" borderId="6" xfId="0" applyNumberFormat="1" applyFont="1" applyFill="1" applyBorder="1" applyAlignment="1">
      <alignment horizontal="center" vertical="center"/>
    </xf>
    <xf numFmtId="14" fontId="41" fillId="2" borderId="0" xfId="0" applyNumberFormat="1" applyFont="1" applyFill="1" applyBorder="1" applyAlignment="1" applyProtection="1">
      <alignment horizontal="center"/>
      <protection locked="0"/>
    </xf>
    <xf numFmtId="165" fontId="61" fillId="0" borderId="0" xfId="0" applyFont="1" applyAlignment="1">
      <alignment horizontal="left" indent="1"/>
    </xf>
    <xf numFmtId="169" fontId="2" fillId="2" borderId="8" xfId="1" applyNumberFormat="1" applyFont="1" applyFill="1" applyBorder="1" applyAlignment="1">
      <alignment vertical="center"/>
    </xf>
    <xf numFmtId="169" fontId="2" fillId="2" borderId="12" xfId="1" applyNumberFormat="1" applyFont="1" applyFill="1" applyBorder="1" applyAlignment="1">
      <alignment vertical="center"/>
    </xf>
    <xf numFmtId="1" fontId="2" fillId="0" borderId="0" xfId="1" applyNumberFormat="1" applyFont="1" applyBorder="1" applyAlignment="1">
      <alignment horizontal="right" indent="1"/>
    </xf>
    <xf numFmtId="1" fontId="1" fillId="0" borderId="0" xfId="1" applyNumberFormat="1" applyFont="1" applyAlignment="1">
      <alignment horizontal="right" indent="1"/>
    </xf>
    <xf numFmtId="1" fontId="0" fillId="0" borderId="0" xfId="0" applyNumberFormat="1" applyBorder="1" applyAlignment="1">
      <alignment horizontal="left" indent="1"/>
    </xf>
    <xf numFmtId="172" fontId="0" fillId="0" borderId="0" xfId="0" applyNumberFormat="1" applyBorder="1" applyAlignment="1">
      <alignment horizontal="left" indent="1"/>
    </xf>
    <xf numFmtId="165" fontId="0" fillId="0" borderId="0" xfId="0" applyBorder="1" applyAlignment="1">
      <alignment horizontal="left" indent="1"/>
    </xf>
    <xf numFmtId="1" fontId="0" fillId="0" borderId="0" xfId="0" applyNumberFormat="1" applyBorder="1" applyAlignment="1">
      <alignment horizontal="center"/>
    </xf>
    <xf numFmtId="165" fontId="18" fillId="0" borderId="0" xfId="0" applyFont="1" applyBorder="1" applyAlignment="1">
      <alignment horizontal="left" indent="1"/>
    </xf>
    <xf numFmtId="1" fontId="0" fillId="0" borderId="0" xfId="0" applyNumberFormat="1" applyBorder="1" applyAlignment="1">
      <alignment horizontal="right" indent="1"/>
    </xf>
    <xf numFmtId="165" fontId="24" fillId="2" borderId="9" xfId="0" applyFont="1" applyFill="1" applyBorder="1" applyAlignment="1">
      <alignment horizontal="center"/>
    </xf>
    <xf numFmtId="165" fontId="24" fillId="2" borderId="5" xfId="0" applyFont="1" applyFill="1" applyBorder="1" applyAlignment="1">
      <alignment horizontal="center"/>
    </xf>
    <xf numFmtId="165" fontId="25" fillId="2" borderId="3" xfId="0" applyFont="1" applyFill="1" applyBorder="1" applyAlignment="1">
      <alignment horizontal="left" vertical="center"/>
    </xf>
    <xf numFmtId="165" fontId="25" fillId="2" borderId="0" xfId="0" applyFont="1" applyFill="1" applyBorder="1" applyAlignment="1">
      <alignment horizontal="left" vertical="center"/>
    </xf>
    <xf numFmtId="165" fontId="38" fillId="9" borderId="3" xfId="5" applyFont="1" applyBorder="1" applyAlignment="1">
      <alignment horizontal="center" vertical="center"/>
    </xf>
    <xf numFmtId="165" fontId="38" fillId="9" borderId="0" xfId="5" applyFont="1" applyBorder="1" applyAlignment="1">
      <alignment horizontal="center" vertical="center"/>
    </xf>
    <xf numFmtId="165" fontId="59" fillId="2" borderId="0" xfId="2" applyFont="1" applyFill="1" applyBorder="1" applyAlignment="1">
      <alignment horizontal="center" vertical="center"/>
    </xf>
    <xf numFmtId="165" fontId="59" fillId="2" borderId="6" xfId="2" applyFont="1" applyFill="1" applyBorder="1" applyAlignment="1">
      <alignment horizontal="center" vertical="center"/>
    </xf>
    <xf numFmtId="165" fontId="5" fillId="6" borderId="0" xfId="0" applyFont="1" applyFill="1" applyBorder="1" applyAlignment="1">
      <alignment horizontal="center" vertical="center"/>
    </xf>
    <xf numFmtId="165" fontId="5" fillId="6" borderId="6" xfId="0" applyFont="1" applyFill="1" applyBorder="1" applyAlignment="1">
      <alignment horizontal="center" vertical="center"/>
    </xf>
    <xf numFmtId="0" fontId="25" fillId="2" borderId="3" xfId="0" applyNumberFormat="1" applyFont="1" applyFill="1" applyBorder="1" applyAlignment="1">
      <alignment horizontal="left" vertical="center"/>
    </xf>
    <xf numFmtId="0" fontId="25" fillId="2" borderId="0" xfId="0" applyNumberFormat="1" applyFont="1" applyFill="1" applyBorder="1" applyAlignment="1">
      <alignment horizontal="left" vertical="center"/>
    </xf>
    <xf numFmtId="165" fontId="41" fillId="2" borderId="0" xfId="0" applyFont="1" applyFill="1" applyBorder="1" applyAlignment="1">
      <alignment horizontal="center" vertical="center"/>
    </xf>
    <xf numFmtId="165" fontId="41" fillId="2" borderId="6" xfId="0" applyFont="1" applyFill="1" applyBorder="1" applyAlignment="1">
      <alignment horizontal="center" vertical="center"/>
    </xf>
    <xf numFmtId="165" fontId="10" fillId="2" borderId="21" xfId="0" applyFont="1" applyFill="1" applyBorder="1" applyAlignment="1">
      <alignment horizontal="center" vertical="center"/>
    </xf>
    <xf numFmtId="165" fontId="10" fillId="2" borderId="22" xfId="0" applyFont="1" applyFill="1" applyBorder="1" applyAlignment="1">
      <alignment horizontal="center" vertical="center"/>
    </xf>
    <xf numFmtId="165" fontId="10" fillId="2" borderId="3" xfId="0" applyFont="1" applyFill="1" applyBorder="1" applyAlignment="1">
      <alignment horizontal="center"/>
    </xf>
    <xf numFmtId="165" fontId="10" fillId="2" borderId="0" xfId="0" applyFont="1" applyFill="1" applyBorder="1" applyAlignment="1">
      <alignment horizontal="center"/>
    </xf>
    <xf numFmtId="1" fontId="25" fillId="2" borderId="3" xfId="0" applyNumberFormat="1" applyFont="1" applyFill="1" applyBorder="1" applyAlignment="1">
      <alignment horizontal="left" vertical="center"/>
    </xf>
    <xf numFmtId="1" fontId="25" fillId="2" borderId="0" xfId="0" applyNumberFormat="1" applyFont="1" applyFill="1" applyBorder="1" applyAlignment="1">
      <alignment horizontal="left" vertical="center"/>
    </xf>
    <xf numFmtId="165" fontId="10" fillId="2" borderId="15" xfId="0" applyFont="1" applyFill="1" applyBorder="1" applyAlignment="1">
      <alignment horizontal="center" vertical="center"/>
    </xf>
    <xf numFmtId="165" fontId="10" fillId="2" borderId="16" xfId="0" applyFont="1" applyFill="1" applyBorder="1" applyAlignment="1">
      <alignment horizontal="center" vertical="center"/>
    </xf>
    <xf numFmtId="165" fontId="12" fillId="2" borderId="4" xfId="0" applyFont="1" applyFill="1" applyBorder="1" applyAlignment="1" applyProtection="1">
      <alignment horizontal="center"/>
    </xf>
    <xf numFmtId="165" fontId="12" fillId="2" borderId="1" xfId="0" applyFont="1" applyFill="1" applyBorder="1" applyAlignment="1" applyProtection="1">
      <alignment horizontal="center"/>
    </xf>
    <xf numFmtId="165" fontId="12" fillId="2" borderId="7" xfId="0" applyFont="1" applyFill="1" applyBorder="1" applyAlignment="1" applyProtection="1">
      <alignment horizontal="center"/>
    </xf>
    <xf numFmtId="165" fontId="40" fillId="2" borderId="3" xfId="0" applyFont="1" applyFill="1" applyBorder="1" applyAlignment="1" applyProtection="1">
      <alignment horizontal="center"/>
    </xf>
    <xf numFmtId="165" fontId="40" fillId="2" borderId="0" xfId="0" applyFont="1" applyFill="1" applyBorder="1" applyAlignment="1" applyProtection="1">
      <alignment horizontal="center"/>
    </xf>
    <xf numFmtId="165" fontId="40" fillId="2" borderId="6" xfId="0" applyFont="1" applyFill="1" applyBorder="1" applyAlignment="1" applyProtection="1">
      <alignment horizontal="center"/>
    </xf>
    <xf numFmtId="165" fontId="5" fillId="2" borderId="3" xfId="0" applyFont="1" applyFill="1" applyBorder="1" applyAlignment="1" applyProtection="1">
      <alignment horizontal="center" vertical="center"/>
    </xf>
    <xf numFmtId="165" fontId="5" fillId="2" borderId="0" xfId="0" applyFont="1" applyFill="1" applyBorder="1" applyAlignment="1" applyProtection="1">
      <alignment horizontal="center" vertical="center"/>
    </xf>
    <xf numFmtId="165" fontId="5" fillId="2" borderId="6" xfId="0" applyFont="1" applyFill="1" applyBorder="1" applyAlignment="1" applyProtection="1">
      <alignment horizontal="center" vertical="center"/>
    </xf>
    <xf numFmtId="165" fontId="46" fillId="2" borderId="13" xfId="0" applyFont="1" applyFill="1" applyBorder="1" applyAlignment="1">
      <alignment horizontal="center" vertical="center"/>
    </xf>
    <xf numFmtId="165" fontId="34" fillId="0" borderId="18" xfId="0" applyFont="1" applyBorder="1" applyAlignment="1">
      <alignment vertical="center"/>
    </xf>
    <xf numFmtId="165" fontId="34" fillId="0" borderId="14" xfId="0" applyFont="1" applyBorder="1" applyAlignment="1">
      <alignment vertical="center"/>
    </xf>
    <xf numFmtId="165" fontId="0" fillId="2" borderId="20" xfId="0" applyFill="1" applyBorder="1" applyAlignment="1">
      <alignment horizontal="left"/>
    </xf>
    <xf numFmtId="165" fontId="40" fillId="2" borderId="20" xfId="0" applyFont="1" applyFill="1" applyBorder="1" applyAlignment="1">
      <alignment horizontal="left"/>
    </xf>
    <xf numFmtId="165" fontId="40" fillId="2" borderId="11" xfId="0" applyFont="1" applyFill="1" applyBorder="1" applyAlignment="1">
      <alignment horizontal="left"/>
    </xf>
    <xf numFmtId="165" fontId="33" fillId="0" borderId="2" xfId="0" applyFont="1" applyBorder="1" applyAlignment="1">
      <alignment horizontal="center"/>
    </xf>
    <xf numFmtId="165" fontId="33" fillId="0" borderId="9" xfId="0" applyFont="1" applyBorder="1" applyAlignment="1">
      <alignment horizontal="center"/>
    </xf>
    <xf numFmtId="165" fontId="33" fillId="0" borderId="5" xfId="0" applyFont="1" applyBorder="1" applyAlignment="1">
      <alignment horizontal="center"/>
    </xf>
    <xf numFmtId="171" fontId="43" fillId="12" borderId="0" xfId="0" applyNumberFormat="1" applyFont="1" applyFill="1" applyAlignment="1">
      <alignment horizontal="center"/>
    </xf>
    <xf numFmtId="165" fontId="33" fillId="0" borderId="4" xfId="0" applyFont="1" applyBorder="1" applyAlignment="1">
      <alignment horizontal="center"/>
    </xf>
    <xf numFmtId="165" fontId="33" fillId="0" borderId="1" xfId="0" applyFont="1" applyBorder="1" applyAlignment="1">
      <alignment horizontal="center"/>
    </xf>
    <xf numFmtId="165" fontId="45" fillId="0" borderId="9" xfId="0" applyFont="1" applyBorder="1" applyAlignment="1">
      <alignment horizontal="center" vertical="center"/>
    </xf>
    <xf numFmtId="165" fontId="45" fillId="0" borderId="9" xfId="0" applyFont="1" applyBorder="1" applyAlignment="1">
      <alignment horizontal="left" vertical="center"/>
    </xf>
    <xf numFmtId="165" fontId="45" fillId="0" borderId="5" xfId="0" applyFont="1" applyBorder="1" applyAlignment="1">
      <alignment horizontal="left" vertical="center"/>
    </xf>
    <xf numFmtId="165" fontId="20" fillId="0" borderId="1" xfId="0" applyFont="1" applyBorder="1" applyAlignment="1">
      <alignment horizontal="center" vertical="center"/>
    </xf>
    <xf numFmtId="165" fontId="0" fillId="0" borderId="0" xfId="0" applyBorder="1" applyAlignment="1">
      <alignment horizontal="center"/>
    </xf>
    <xf numFmtId="165" fontId="5" fillId="2" borderId="20" xfId="0" applyFont="1" applyFill="1" applyBorder="1" applyAlignment="1">
      <alignment horizontal="center"/>
    </xf>
    <xf numFmtId="165" fontId="45" fillId="2" borderId="20" xfId="0" applyFont="1" applyFill="1" applyBorder="1" applyAlignment="1">
      <alignment horizontal="center" vertical="center"/>
    </xf>
    <xf numFmtId="165" fontId="45" fillId="2" borderId="11" xfId="0" applyFont="1" applyFill="1" applyBorder="1" applyAlignment="1">
      <alignment horizontal="center" vertical="center"/>
    </xf>
    <xf numFmtId="165" fontId="42" fillId="2" borderId="20" xfId="0" applyFont="1" applyFill="1" applyBorder="1" applyAlignment="1">
      <alignment horizontal="center" vertical="center"/>
    </xf>
    <xf numFmtId="165" fontId="42" fillId="2" borderId="11" xfId="0" applyFont="1" applyFill="1" applyBorder="1" applyAlignment="1">
      <alignment horizontal="center" vertical="center"/>
    </xf>
    <xf numFmtId="165" fontId="41" fillId="2" borderId="20" xfId="0" applyFont="1" applyFill="1" applyBorder="1" applyAlignment="1">
      <alignment horizontal="center" vertical="center"/>
    </xf>
    <xf numFmtId="165" fontId="41" fillId="2" borderId="11" xfId="0" applyFont="1" applyFill="1" applyBorder="1" applyAlignment="1">
      <alignment horizontal="center" vertical="center"/>
    </xf>
    <xf numFmtId="165" fontId="43" fillId="12" borderId="0" xfId="0" applyFont="1" applyFill="1" applyAlignment="1">
      <alignment horizontal="center"/>
    </xf>
    <xf numFmtId="165" fontId="45" fillId="0" borderId="0" xfId="0" applyFont="1" applyBorder="1" applyAlignment="1">
      <alignment horizontal="center" vertical="center"/>
    </xf>
    <xf numFmtId="165" fontId="45" fillId="0" borderId="0" xfId="0" applyFont="1" applyBorder="1" applyAlignment="1">
      <alignment horizontal="left" vertical="center"/>
    </xf>
    <xf numFmtId="165" fontId="45" fillId="0" borderId="6" xfId="0" applyFont="1" applyBorder="1" applyAlignment="1">
      <alignment horizontal="left" vertical="center"/>
    </xf>
    <xf numFmtId="165" fontId="0" fillId="2" borderId="20" xfId="0" applyFill="1" applyBorder="1" applyAlignment="1">
      <alignment horizontal="center"/>
    </xf>
    <xf numFmtId="165" fontId="0" fillId="2" borderId="11" xfId="0" applyFill="1" applyBorder="1" applyAlignment="1">
      <alignment horizontal="left"/>
    </xf>
    <xf numFmtId="165" fontId="22" fillId="2" borderId="0" xfId="2" applyFont="1" applyFill="1" applyBorder="1" applyAlignment="1">
      <alignment horizontal="center" vertical="center"/>
    </xf>
    <xf numFmtId="165" fontId="23" fillId="2" borderId="6" xfId="2" applyFont="1" applyFill="1" applyBorder="1" applyAlignment="1">
      <alignment horizontal="center" vertical="center"/>
    </xf>
  </cellXfs>
  <cellStyles count="7">
    <cellStyle name="Accent4" xfId="4" builtinId="41"/>
    <cellStyle name="Comma" xfId="1" builtinId="3"/>
    <cellStyle name="Good" xfId="3" builtinId="26"/>
    <cellStyle name="Hyperlink" xfId="2" builtinId="8"/>
    <cellStyle name="Neutral" xfId="5" builtinId="28"/>
    <cellStyle name="Normal" xfId="0" builtinId="0"/>
    <cellStyle name="Normal 2" xfId="6"/>
  </cellStyles>
  <dxfs count="11">
    <dxf>
      <numFmt numFmtId="1" formatCode="0"/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3" tint="0.59999389629810485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numFmt numFmtId="1" formatCode="0"/>
      <alignment horizontal="right" vertical="bottom" textRotation="0" wrapText="0" indent="1" justifyLastLine="0" shrinkToFit="0" readingOrder="0"/>
    </dxf>
    <dxf>
      <numFmt numFmtId="1" formatCode="0"/>
      <alignment horizontal="right" vertical="bottom" textRotation="0" wrapText="0" indent="1" justifyLastLine="0" shrinkToFit="0" readingOrder="0"/>
    </dxf>
    <dxf>
      <font>
        <strike val="0"/>
        <outline val="0"/>
        <shadow val="0"/>
        <u val="none"/>
        <vertAlign val="baseline"/>
        <sz val="10"/>
        <color theme="1"/>
        <name val="Calibri"/>
        <scheme val="minor"/>
      </font>
      <alignment horizontal="left" vertical="bottom" textRotation="0" wrapText="0" indent="1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left" vertical="bottom" textRotation="0" wrapText="0" indent="1" justifyLastLine="0" shrinkToFit="0" readingOrder="0"/>
    </dxf>
    <dxf>
      <numFmt numFmtId="172" formatCode="[$-409]d\-mmm\-yyyy;@"/>
      <alignment horizontal="left" vertical="bottom" textRotation="0" wrapText="0" indent="1" justifyLastLine="0" shrinkToFit="0" readingOrder="0"/>
    </dxf>
    <dxf>
      <numFmt numFmtId="1" formatCode="0"/>
      <alignment horizontal="left" vertical="bottom" textRotation="0" wrapText="0" indent="1" justifyLastLine="0" shrinkToFit="0" readingOrder="0"/>
    </dxf>
    <dxf>
      <border outline="0">
        <bottom style="thin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scheme val="minor"/>
      </font>
      <alignment horizontal="left" vertical="bottom" textRotation="0" wrapText="0" indent="1" justifyLastLine="0" shrinkToFit="0" readingOrder="0"/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4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externalLink" Target="externalLinks/externalLink3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externalLink" Target="externalLinks/externalLink2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externalLink" Target="externalLinks/externalLink1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5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1581150</xdr:colOff>
      <xdr:row>0</xdr:row>
      <xdr:rowOff>352424</xdr:rowOff>
    </xdr:from>
    <xdr:to>
      <xdr:col>2</xdr:col>
      <xdr:colOff>2390775</xdr:colOff>
      <xdr:row>4</xdr:row>
      <xdr:rowOff>66674</xdr:rowOff>
    </xdr:to>
    <xdr:pic>
      <xdr:nvPicPr>
        <xdr:cNvPr id="3219" name="Picture 1" descr="e logo.png">
          <a:extLst>
            <a:ext uri="{FF2B5EF4-FFF2-40B4-BE49-F238E27FC236}">
              <a16:creationId xmlns:a16="http://schemas.microsoft.com/office/drawing/2014/main" id="{00000000-0008-0000-0000-0000930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876550" y="352424"/>
          <a:ext cx="809625" cy="809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2</xdr:row>
          <xdr:rowOff>133350</xdr:rowOff>
        </xdr:from>
        <xdr:to>
          <xdr:col>6</xdr:col>
          <xdr:colOff>409575</xdr:colOff>
          <xdr:row>5</xdr:row>
          <xdr:rowOff>47625</xdr:rowOff>
        </xdr:to>
        <xdr:sp macro="" textlink="">
          <xdr:nvSpPr>
            <xdr:cNvPr id="3078" name="Button 6" hidden="1">
              <a:extLst>
                <a:ext uri="{63B3BB69-23CF-44E3-9099-C40C66FF867C}">
                  <a14:compatExt spid="_x0000_s307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2</xdr:row>
          <xdr:rowOff>133350</xdr:rowOff>
        </xdr:from>
        <xdr:to>
          <xdr:col>7</xdr:col>
          <xdr:colOff>600075</xdr:colOff>
          <xdr:row>5</xdr:row>
          <xdr:rowOff>57150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</xdr:row>
          <xdr:rowOff>142875</xdr:rowOff>
        </xdr:from>
        <xdr:to>
          <xdr:col>9</xdr:col>
          <xdr:colOff>76200</xdr:colOff>
          <xdr:row>5</xdr:row>
          <xdr:rowOff>57150</xdr:rowOff>
        </xdr:to>
        <xdr:sp macro="" textlink="">
          <xdr:nvSpPr>
            <xdr:cNvPr id="3080" name="Button 8" hidden="1">
              <a:extLst>
                <a:ext uri="{63B3BB69-23CF-44E3-9099-C40C66FF867C}">
                  <a14:compatExt spid="_x0000_s308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299825</xdr:colOff>
      <xdr:row>0</xdr:row>
      <xdr:rowOff>0</xdr:rowOff>
    </xdr:from>
    <xdr:to>
      <xdr:col>0</xdr:col>
      <xdr:colOff>654632</xdr:colOff>
      <xdr:row>20</xdr:row>
      <xdr:rowOff>19846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 txBox="1"/>
      </xdr:nvSpPr>
      <xdr:spPr>
        <a:xfrm rot="5400000">
          <a:off x="-1854413" y="2154238"/>
          <a:ext cx="4663284" cy="3548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Ins</a:t>
          </a:r>
          <a:r>
            <a:rPr lang="en-IN" sz="1100" b="1"/>
            <a:t>tructions</a:t>
          </a:r>
          <a:r>
            <a:rPr lang="en-IN" sz="1100" b="1" baseline="0"/>
            <a:t> Remarks If Any  </a:t>
          </a:r>
          <a:r>
            <a:rPr lang="en-IN" sz="1050" baseline="0"/>
            <a:t>.....................................................</a:t>
          </a:r>
          <a:endParaRPr lang="en-IN" sz="1050"/>
        </a:p>
      </xdr:txBody>
    </xdr:sp>
    <xdr:clientData/>
  </xdr:twoCellAnchor>
  <xdr:twoCellAnchor>
    <xdr:from>
      <xdr:col>0</xdr:col>
      <xdr:colOff>293473</xdr:colOff>
      <xdr:row>26</xdr:row>
      <xdr:rowOff>3585</xdr:rowOff>
    </xdr:from>
    <xdr:to>
      <xdr:col>0</xdr:col>
      <xdr:colOff>648280</xdr:colOff>
      <xdr:row>46</xdr:row>
      <xdr:rowOff>9925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 rot="5400000">
          <a:off x="-1581160" y="7067359"/>
          <a:ext cx="4104074" cy="3548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Ins</a:t>
          </a:r>
          <a:r>
            <a:rPr lang="en-IN" sz="1100" b="1"/>
            <a:t>tructions</a:t>
          </a:r>
          <a:r>
            <a:rPr lang="en-IN" sz="1100" b="1" baseline="0"/>
            <a:t> Remarks If Any  </a:t>
          </a:r>
          <a:r>
            <a:rPr lang="en-IN" sz="1050" baseline="0"/>
            <a:t>.....................................................</a:t>
          </a:r>
          <a:endParaRPr lang="en-IN" sz="105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299825</xdr:colOff>
      <xdr:row>0</xdr:row>
      <xdr:rowOff>0</xdr:rowOff>
    </xdr:from>
    <xdr:to>
      <xdr:col>0</xdr:col>
      <xdr:colOff>654632</xdr:colOff>
      <xdr:row>20</xdr:row>
      <xdr:rowOff>9920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 txBox="1"/>
      </xdr:nvSpPr>
      <xdr:spPr>
        <a:xfrm rot="5400000">
          <a:off x="-1821351" y="2121176"/>
          <a:ext cx="4597160" cy="354807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IN" sz="1200" b="1"/>
            <a:t>Ins</a:t>
          </a:r>
          <a:r>
            <a:rPr lang="en-IN" sz="1100" b="1"/>
            <a:t>tructions</a:t>
          </a:r>
          <a:r>
            <a:rPr lang="en-IN" sz="1100" b="1" baseline="0"/>
            <a:t> Remarks If Any  </a:t>
          </a:r>
          <a:r>
            <a:rPr lang="en-IN" sz="1050" baseline="0"/>
            <a:t>.....................................................</a:t>
          </a:r>
          <a:endParaRPr lang="en-IN" sz="105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1581150</xdr:colOff>
      <xdr:row>0</xdr:row>
      <xdr:rowOff>352424</xdr:rowOff>
    </xdr:from>
    <xdr:to>
      <xdr:col>2</xdr:col>
      <xdr:colOff>2390775</xdr:colOff>
      <xdr:row>4</xdr:row>
      <xdr:rowOff>38099</xdr:rowOff>
    </xdr:to>
    <xdr:pic>
      <xdr:nvPicPr>
        <xdr:cNvPr id="2" name="Picture 1" descr="e logo.png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24150" y="352424"/>
          <a:ext cx="809625" cy="809625"/>
        </a:xfrm>
        <a:prstGeom prst="rect">
          <a:avLst/>
        </a:prstGeom>
        <a:noFill/>
        <a:ln w="9525">
          <a:noFill/>
          <a:miter lim="800000"/>
          <a:headEnd/>
          <a:tailEnd/>
        </a:ln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371475</xdr:colOff>
          <xdr:row>2</xdr:row>
          <xdr:rowOff>133350</xdr:rowOff>
        </xdr:from>
        <xdr:to>
          <xdr:col>6</xdr:col>
          <xdr:colOff>409575</xdr:colOff>
          <xdr:row>5</xdr:row>
          <xdr:rowOff>47625</xdr:rowOff>
        </xdr:to>
        <xdr:sp macro="" textlink="">
          <xdr:nvSpPr>
            <xdr:cNvPr id="13313" name="Button 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Save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581025</xdr:colOff>
          <xdr:row>2</xdr:row>
          <xdr:rowOff>133350</xdr:rowOff>
        </xdr:from>
        <xdr:to>
          <xdr:col>7</xdr:col>
          <xdr:colOff>600075</xdr:colOff>
          <xdr:row>5</xdr:row>
          <xdr:rowOff>57150</xdr:rowOff>
        </xdr:to>
        <xdr:sp macro="" textlink="">
          <xdr:nvSpPr>
            <xdr:cNvPr id="13314" name="Button 2" hidden="1">
              <a:extLst>
                <a:ext uri="{63B3BB69-23CF-44E3-9099-C40C66FF867C}">
                  <a14:compatExt spid="_x0000_s1331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View Invoice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133350</xdr:colOff>
          <xdr:row>2</xdr:row>
          <xdr:rowOff>142875</xdr:rowOff>
        </xdr:from>
        <xdr:to>
          <xdr:col>9</xdr:col>
          <xdr:colOff>76200</xdr:colOff>
          <xdr:row>5</xdr:row>
          <xdr:rowOff>57150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Print Invoice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UG-19(e-syndicates%20Invoice%20File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/hp%20-22INVOICE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/SulaxnMS1/OneDrive/Documents/ESHP%2023-24/hp%20-19(e-syndicates%20InvFile2023-24%20(CORRUPT).xlsm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swshare\SureshAddin.xla" TargetMode="External"/></Relationships>
</file>

<file path=xl/externalLinks/_rels/externalLink5.xml.rels><?xml version="1.0" encoding="UTF-8" standalone="yes"?>
<Relationships xmlns="http://schemas.openxmlformats.org/package/2006/relationships"><Relationship Id="rId1" Type="http://schemas.openxmlformats.org/officeDocument/2006/relationships/externalLinkPath" Target="/swshare/SureshAddin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Invoice data"/>
      <sheetName val="REGISTRY"/>
      <sheetName val="gst1"/>
      <sheetName val="VOUCHER C.REPAIR"/>
      <sheetName val="sol_id"/>
      <sheetName val="GSTIN UNREGISTERED FIRM"/>
      <sheetName val="Sheet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Invoice data"/>
      <sheetName val="REGISTRY"/>
      <sheetName val="VOUCHER C.REPAIR"/>
      <sheetName val="sol_id"/>
      <sheetName val="GSTIN UNREGISTERED FIRM"/>
      <sheetName val="gst1"/>
    </sheetNames>
    <sheetDataSet>
      <sheetData sheetId="0" refreshError="1"/>
      <sheetData sheetId="1"/>
      <sheetData sheetId="2"/>
      <sheetData sheetId="3" refreshError="1"/>
      <sheetData sheetId="4"/>
      <sheetData sheetId="5" refreshError="1"/>
      <sheetData sheetId="6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voice"/>
      <sheetName val="Invoice data"/>
      <sheetName val="REGISTRY"/>
      <sheetName val="VOUCHER C.REPAIR"/>
      <sheetName val="sol_id"/>
      <sheetName val="GSTIN UNREGISTERED FIRM"/>
      <sheetName val="gst1"/>
      <sheetName val="Sheet1"/>
      <sheetName val="Sheet2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ureshAddin"/>
    </sheetNames>
    <definedNames>
      <definedName name="rswords"/>
    </definedNames>
    <sheetDataSet>
      <sheetData sheetId="0"/>
      <sheetData sheetId="1" refreshError="1"/>
    </sheetDataSet>
  </externalBook>
</externalLink>
</file>

<file path=xl/externalLinks/externalLink5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Sheet1"/>
      <sheetName val="SureshAddin"/>
    </sheetNames>
    <definedNames>
      <definedName name="rswords"/>
    </definedNames>
    <sheetDataSet>
      <sheetData sheetId="0"/>
      <sheetData sheetId="1" refreshError="1"/>
    </sheetDataSet>
  </externalBook>
</externalLink>
</file>

<file path=xl/tables/table1.xml><?xml version="1.0" encoding="utf-8"?>
<table xmlns="http://schemas.openxmlformats.org/spreadsheetml/2006/main" id="1" name="Table142" displayName="Table142" ref="A1:O407" totalsRowShown="0" headerRowDxfId="10" headerRowBorderDxfId="9">
  <autoFilter ref="A1:O407"/>
  <sortState ref="A2:O364">
    <sortCondition ref="A1:A364"/>
  </sortState>
  <tableColumns count="15">
    <tableColumn id="1" name="Invoice #" dataDxfId="8"/>
    <tableColumn id="2" name="Date" dataDxfId="7"/>
    <tableColumn id="3" name="Company Name" dataDxfId="6"/>
    <tableColumn id="4" name="Item Code" dataDxfId="5"/>
    <tableColumn id="5" name="Description" dataDxfId="4"/>
    <tableColumn id="6" name="Item price" dataDxfId="3"/>
    <tableColumn id="7" name="Amount" dataDxfId="2" dataCellStyle="Comma"/>
    <tableColumn id="8" name="salesmen"/>
    <tableColumn id="9" name="PO no"/>
    <tableColumn id="10" name="Notfy"/>
    <tableColumn id="11" name="Shipping"/>
    <tableColumn id="12" name="Column1"/>
    <tableColumn id="13" name="Column2"/>
    <tableColumn id="14" name="Column3"/>
    <tableColumn id="15" name="Column4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2" displayName="Table2" ref="A4:H222" totalsRowShown="0" headerRowDxfId="1">
  <autoFilter ref="A4:H222"/>
  <sortState ref="A5:H87">
    <sortCondition ref="B5"/>
  </sortState>
  <tableColumns count="8">
    <tableColumn id="1" name="NO:" dataDxfId="0"/>
    <tableColumn id="2" name="Company Name"/>
    <tableColumn id="3" name="Owner or Dealer"/>
    <tableColumn id="4" name="Adress"/>
    <tableColumn id="5" name="CITY"/>
    <tableColumn id="6" name="Contact "/>
    <tableColumn id="7" name="Email"/>
    <tableColumn id="8" name="Remark( Products name)"/>
  </tableColumns>
  <tableStyleInfo name="TableStyleMedium14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7" Type="http://schemas.openxmlformats.org/officeDocument/2006/relationships/ctrlProp" Target="../ctrlProps/ctrlProp3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ites.google.com/site/ibayasia/" TargetMode="External"/><Relationship Id="rId6" Type="http://schemas.openxmlformats.org/officeDocument/2006/relationships/ctrlProp" Target="../ctrlProps/ctrlProp2.xml"/><Relationship Id="rId5" Type="http://schemas.openxmlformats.org/officeDocument/2006/relationships/ctrlProp" Target="../ctrlProps/ctrlProp1.xml"/><Relationship Id="rId4" Type="http://schemas.openxmlformats.org/officeDocument/2006/relationships/vmlDrawing" Target="../drawings/vmlDrawing1.v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3.bin"/><Relationship Id="rId2" Type="http://schemas.openxmlformats.org/officeDocument/2006/relationships/hyperlink" Target="mailto:sanjudaloh@gmail.com" TargetMode="External"/><Relationship Id="rId1" Type="http://schemas.openxmlformats.org/officeDocument/2006/relationships/hyperlink" Target="mailto:jassisingh272@gmail.com" TargetMode="External"/><Relationship Id="rId4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7" Type="http://schemas.openxmlformats.org/officeDocument/2006/relationships/ctrlProp" Target="../ctrlProps/ctrlProp6.xml"/><Relationship Id="rId2" Type="http://schemas.openxmlformats.org/officeDocument/2006/relationships/printerSettings" Target="../printerSettings/printerSettings7.bin"/><Relationship Id="rId1" Type="http://schemas.openxmlformats.org/officeDocument/2006/relationships/hyperlink" Target="https://sites.google.com/site/ibayasia/" TargetMode="External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vmlDrawing" Target="../drawings/vmlDrawing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pageSetUpPr fitToPage="1"/>
  </sheetPr>
  <dimension ref="A1:R63"/>
  <sheetViews>
    <sheetView showZeros="0" workbookViewId="0">
      <selection activeCell="D13" sqref="D13"/>
    </sheetView>
  </sheetViews>
  <sheetFormatPr defaultRowHeight="15"/>
  <cols>
    <col min="1" max="1" width="1.7109375" customWidth="1"/>
    <col min="2" max="2" width="15.42578125" customWidth="1"/>
    <col min="3" max="3" width="43.85546875" customWidth="1"/>
    <col min="4" max="4" width="17.140625" customWidth="1"/>
    <col min="5" max="5" width="19.5703125" customWidth="1"/>
    <col min="7" max="8" width="10.5703125" customWidth="1"/>
    <col min="9" max="9" width="12.7109375" customWidth="1"/>
    <col min="10" max="10" width="10.5703125" customWidth="1"/>
    <col min="11" max="11" width="11.28515625" customWidth="1"/>
    <col min="12" max="12" width="17" customWidth="1"/>
    <col min="13" max="13" width="20.42578125" customWidth="1"/>
    <col min="14" max="14" width="12.140625" customWidth="1"/>
    <col min="15" max="15" width="9.7109375" bestFit="1" customWidth="1"/>
    <col min="16" max="16" width="16.140625" customWidth="1"/>
    <col min="17" max="17" width="18.42578125" bestFit="1" customWidth="1"/>
  </cols>
  <sheetData>
    <row r="1" spans="1:18" ht="33.75">
      <c r="A1" s="10"/>
      <c r="B1" s="33"/>
      <c r="C1" s="169" t="s">
        <v>0</v>
      </c>
      <c r="D1" s="205" t="s">
        <v>1</v>
      </c>
      <c r="E1" s="206"/>
      <c r="F1" s="10"/>
      <c r="G1" s="11" t="s">
        <v>2</v>
      </c>
      <c r="H1" s="11"/>
      <c r="I1" s="11"/>
      <c r="J1" s="11"/>
      <c r="K1" s="11"/>
      <c r="L1" s="205" t="s">
        <v>1</v>
      </c>
      <c r="M1" s="206"/>
      <c r="N1" s="2"/>
      <c r="O1" s="2"/>
      <c r="P1" s="2"/>
      <c r="Q1" s="207" t="s">
        <v>3</v>
      </c>
      <c r="R1" s="208"/>
    </row>
    <row r="2" spans="1:18" ht="16.5">
      <c r="A2" s="10"/>
      <c r="B2" s="34" t="s">
        <v>4</v>
      </c>
      <c r="C2" s="69"/>
      <c r="D2" s="193" t="s">
        <v>5</v>
      </c>
      <c r="E2" s="192">
        <v>46150</v>
      </c>
      <c r="F2" s="10"/>
      <c r="G2" s="11"/>
      <c r="H2" s="11"/>
      <c r="I2" s="179" t="s">
        <v>6</v>
      </c>
      <c r="J2" s="11"/>
      <c r="K2" s="11"/>
      <c r="L2" s="11"/>
      <c r="M2" s="2"/>
      <c r="N2" s="2"/>
      <c r="O2" s="2"/>
      <c r="P2" s="2"/>
    </row>
    <row r="3" spans="1:18" ht="18" customHeight="1">
      <c r="A3" s="10"/>
      <c r="B3" s="157" t="s">
        <v>647</v>
      </c>
      <c r="C3" s="122"/>
      <c r="D3" s="217" t="s">
        <v>8</v>
      </c>
      <c r="E3" s="218"/>
      <c r="F3" s="10"/>
      <c r="G3" s="11"/>
      <c r="H3" s="11"/>
      <c r="I3" s="11"/>
      <c r="J3" s="11"/>
      <c r="K3" s="11"/>
      <c r="L3" s="11"/>
      <c r="M3" s="2"/>
      <c r="N3" s="2"/>
      <c r="O3" s="2"/>
      <c r="P3" s="2"/>
    </row>
    <row r="4" spans="1:18" ht="18" customHeight="1">
      <c r="A4" s="10"/>
      <c r="B4" s="223" t="s">
        <v>862</v>
      </c>
      <c r="C4" s="224"/>
      <c r="D4" s="43" t="s">
        <v>9</v>
      </c>
      <c r="E4" s="44" t="s">
        <v>10</v>
      </c>
      <c r="F4" s="10"/>
      <c r="G4" s="11"/>
      <c r="H4" s="11"/>
      <c r="I4" s="11"/>
      <c r="J4" s="11"/>
      <c r="K4" s="11"/>
      <c r="L4" s="61" t="s">
        <v>11</v>
      </c>
      <c r="M4" s="62" t="e">
        <f>SUM(#REF!)</f>
        <v>#REF!</v>
      </c>
      <c r="N4" s="2"/>
      <c r="O4" s="2"/>
      <c r="P4" s="2"/>
    </row>
    <row r="5" spans="1:18" ht="18" customHeight="1">
      <c r="A5" s="10"/>
      <c r="B5" s="215" t="s">
        <v>863</v>
      </c>
      <c r="C5" s="216"/>
      <c r="D5" s="211" t="s">
        <v>12</v>
      </c>
      <c r="E5" s="212"/>
      <c r="F5" s="10"/>
      <c r="G5" s="11"/>
      <c r="H5" s="11"/>
      <c r="I5" s="11"/>
      <c r="J5" s="11"/>
      <c r="K5" s="11"/>
      <c r="L5" s="61" t="s">
        <v>13</v>
      </c>
      <c r="M5" s="63" t="e">
        <f>M4*18%</f>
        <v>#REF!</v>
      </c>
      <c r="N5" s="2"/>
      <c r="O5" s="2"/>
      <c r="P5" s="2" t="s">
        <v>14</v>
      </c>
    </row>
    <row r="6" spans="1:18" ht="12.75" customHeight="1">
      <c r="A6" s="10"/>
      <c r="B6" s="207" t="s">
        <v>576</v>
      </c>
      <c r="C6" s="208"/>
      <c r="D6" s="189" t="s">
        <v>16</v>
      </c>
      <c r="E6" s="188" t="s">
        <v>17</v>
      </c>
      <c r="F6" s="10"/>
      <c r="G6" s="11"/>
      <c r="H6" s="11"/>
      <c r="I6" s="11"/>
      <c r="J6" s="11"/>
      <c r="K6" s="11"/>
      <c r="L6" s="11"/>
      <c r="M6" s="2"/>
      <c r="N6" s="2"/>
      <c r="O6" s="2"/>
      <c r="P6" s="2"/>
    </row>
    <row r="7" spans="1:18" ht="20.25" customHeight="1">
      <c r="A7" s="10"/>
      <c r="B7" s="67" t="s">
        <v>18</v>
      </c>
      <c r="C7" s="35">
        <v>2627418</v>
      </c>
      <c r="D7" s="213" t="s">
        <v>857</v>
      </c>
      <c r="E7" s="214"/>
      <c r="F7" s="10"/>
      <c r="G7" s="11"/>
      <c r="H7" s="11">
        <f>1694/4</f>
        <v>423.5</v>
      </c>
      <c r="I7" s="11"/>
      <c r="J7" s="11"/>
      <c r="K7" s="11"/>
      <c r="L7" s="64" t="s">
        <v>20</v>
      </c>
      <c r="M7" s="64" t="e">
        <f>SUM(#REF!)</f>
        <v>#REF!</v>
      </c>
      <c r="N7" s="209" t="s">
        <v>21</v>
      </c>
      <c r="O7" s="210"/>
      <c r="P7" s="116" t="e">
        <f>SUM(#REF!)</f>
        <v>#REF!</v>
      </c>
    </row>
    <row r="8" spans="1:18" ht="14.25" hidden="1" customHeight="1">
      <c r="A8" s="10"/>
      <c r="B8" s="22"/>
      <c r="C8" s="6"/>
      <c r="D8" s="6"/>
      <c r="E8" s="30"/>
      <c r="F8" s="10"/>
      <c r="G8" s="11"/>
      <c r="H8" s="11"/>
      <c r="I8" s="11"/>
      <c r="J8" s="11"/>
      <c r="K8" s="11"/>
      <c r="L8" s="11"/>
      <c r="M8" s="2"/>
      <c r="N8" s="2"/>
      <c r="O8" s="2"/>
      <c r="P8" s="2"/>
      <c r="R8">
        <v>495</v>
      </c>
    </row>
    <row r="9" spans="1:18" s="52" customFormat="1" ht="16.5" customHeight="1">
      <c r="A9" s="48"/>
      <c r="B9" s="57" t="s">
        <v>22</v>
      </c>
      <c r="C9" s="187" t="str">
        <f>IFERROR(VLOOKUP(B3,'gst1'!A2:B211,2,0),"")</f>
        <v>03AACAT6903E1ZV</v>
      </c>
      <c r="D9" s="49" t="s">
        <v>23</v>
      </c>
      <c r="E9" s="164">
        <f>E2+15</f>
        <v>46165</v>
      </c>
      <c r="F9" s="48"/>
      <c r="G9" s="50"/>
      <c r="H9" s="50"/>
      <c r="I9" s="50"/>
      <c r="J9" s="50"/>
      <c r="K9" s="50"/>
      <c r="L9" s="50"/>
      <c r="M9" s="51"/>
      <c r="N9" s="51"/>
      <c r="O9" s="51"/>
      <c r="P9" s="51"/>
    </row>
    <row r="10" spans="1:18" s="52" customFormat="1" ht="15" customHeight="1">
      <c r="A10" s="48"/>
      <c r="B10" s="156"/>
      <c r="C10" s="56" t="s">
        <v>24</v>
      </c>
      <c r="D10" s="49" t="s">
        <v>25</v>
      </c>
      <c r="E10" s="53" t="s">
        <v>31</v>
      </c>
      <c r="H10" s="50"/>
      <c r="I10" s="50"/>
      <c r="J10" s="50"/>
      <c r="K10" s="50">
        <f>K13/2</f>
        <v>847.45762711864404</v>
      </c>
      <c r="L10" s="50"/>
      <c r="M10" s="51"/>
      <c r="N10" s="51"/>
      <c r="O10" s="51"/>
      <c r="P10" s="51"/>
    </row>
    <row r="11" spans="1:18" ht="15.75" hidden="1" customHeight="1">
      <c r="A11" s="11"/>
      <c r="B11" s="22"/>
      <c r="C11" s="6"/>
      <c r="D11" s="6"/>
      <c r="E11" s="30"/>
      <c r="F11" s="10"/>
      <c r="G11" s="11"/>
      <c r="H11" s="11"/>
      <c r="I11" s="11"/>
      <c r="J11" s="11"/>
      <c r="K11" s="11"/>
      <c r="L11" s="11"/>
      <c r="M11" s="2"/>
      <c r="N11" s="2"/>
      <c r="O11" s="2"/>
      <c r="P11" s="2"/>
    </row>
    <row r="12" spans="1:18">
      <c r="A12" s="11"/>
      <c r="B12" s="36" t="s">
        <v>27</v>
      </c>
      <c r="C12" s="37" t="s">
        <v>28</v>
      </c>
      <c r="D12" s="37" t="s">
        <v>29</v>
      </c>
      <c r="E12" s="38" t="s">
        <v>30</v>
      </c>
      <c r="G12" s="48" t="s">
        <v>31</v>
      </c>
      <c r="H12" s="11"/>
      <c r="I12" s="11"/>
      <c r="J12" s="11"/>
      <c r="K12" s="11"/>
      <c r="L12" s="11"/>
      <c r="M12" s="2"/>
      <c r="N12" s="2"/>
      <c r="O12" s="2"/>
      <c r="P12" s="2"/>
    </row>
    <row r="13" spans="1:18">
      <c r="A13" s="11"/>
      <c r="B13" s="190">
        <v>1</v>
      </c>
      <c r="C13" s="177" t="s">
        <v>869</v>
      </c>
      <c r="D13" s="183">
        <v>500</v>
      </c>
      <c r="E13" s="180">
        <f>D13*B13</f>
        <v>500</v>
      </c>
      <c r="F13" s="171" t="e">
        <v>#N/A</v>
      </c>
      <c r="G13" s="155">
        <f>D13*100/118</f>
        <v>423.72881355932202</v>
      </c>
      <c r="H13" s="155"/>
      <c r="I13" s="155">
        <v>18</v>
      </c>
      <c r="J13" s="155">
        <v>2000</v>
      </c>
      <c r="K13" s="155">
        <f>J13*100/118</f>
        <v>1694.9152542372881</v>
      </c>
      <c r="L13" s="11" t="str">
        <f>IF($E10="Retail", "Retail Sale", "FAD LO")</f>
        <v>Retail Sale</v>
      </c>
      <c r="M13" s="54"/>
      <c r="N13" s="2"/>
      <c r="O13" s="121"/>
      <c r="P13" s="2"/>
    </row>
    <row r="14" spans="1:18" ht="18" customHeight="1">
      <c r="A14" s="11"/>
      <c r="B14" s="190"/>
      <c r="C14" s="177"/>
      <c r="D14" s="183"/>
      <c r="E14" s="180"/>
      <c r="F14" s="171" t="e">
        <v>#N/A</v>
      </c>
      <c r="G14" s="155">
        <f t="shared" ref="G14:G26" si="0">D14*100/118</f>
        <v>0</v>
      </c>
      <c r="H14" s="155"/>
      <c r="I14" s="155">
        <v>28</v>
      </c>
      <c r="J14" s="155">
        <v>540</v>
      </c>
      <c r="K14" s="155">
        <f>J14*100/118</f>
        <v>457.62711864406782</v>
      </c>
      <c r="L14" s="11">
        <f>D14*18%</f>
        <v>0</v>
      </c>
      <c r="M14" s="55"/>
      <c r="N14" s="2"/>
      <c r="O14" s="2"/>
      <c r="P14" s="2"/>
    </row>
    <row r="15" spans="1:18" ht="15.75" customHeight="1">
      <c r="A15" s="11"/>
      <c r="B15" s="190"/>
      <c r="C15" s="177"/>
      <c r="D15" s="183"/>
      <c r="E15" s="180"/>
      <c r="F15" s="171" t="e">
        <v>#N/A</v>
      </c>
      <c r="G15" s="155">
        <f t="shared" si="0"/>
        <v>0</v>
      </c>
      <c r="H15" s="155"/>
      <c r="I15" s="60">
        <f>H14*H15/100</f>
        <v>0</v>
      </c>
      <c r="J15" s="118">
        <f>I15+H14</f>
        <v>0</v>
      </c>
      <c r="K15" s="11"/>
      <c r="L15" s="11"/>
      <c r="M15" s="2" t="s">
        <v>35</v>
      </c>
      <c r="N15" s="2"/>
      <c r="O15" s="2"/>
      <c r="P15" s="2"/>
    </row>
    <row r="16" spans="1:18">
      <c r="A16" s="11"/>
      <c r="B16" s="190"/>
      <c r="C16" s="177"/>
      <c r="D16" s="171"/>
      <c r="E16" s="180"/>
      <c r="F16" s="171" t="e">
        <v>#N/A</v>
      </c>
      <c r="G16" s="155">
        <f t="shared" si="0"/>
        <v>0</v>
      </c>
      <c r="H16" s="155"/>
      <c r="I16" s="11"/>
      <c r="J16" s="121" t="s">
        <v>36</v>
      </c>
      <c r="K16" s="11"/>
      <c r="L16" s="11"/>
      <c r="M16" s="2"/>
      <c r="N16" s="2"/>
      <c r="O16" s="2"/>
      <c r="P16" s="2"/>
    </row>
    <row r="17" spans="1:18" ht="18" customHeight="1">
      <c r="A17" s="11"/>
      <c r="B17" s="190"/>
      <c r="C17" s="177"/>
      <c r="D17" s="183"/>
      <c r="E17" s="180"/>
      <c r="F17" s="171" t="e">
        <v>#N/A</v>
      </c>
      <c r="G17" s="155">
        <f t="shared" si="0"/>
        <v>0</v>
      </c>
      <c r="H17" s="155"/>
      <c r="I17" s="11">
        <v>3200</v>
      </c>
      <c r="J17" s="11"/>
      <c r="K17" s="11"/>
      <c r="L17" s="11"/>
      <c r="M17" s="2"/>
      <c r="N17" s="151"/>
      <c r="O17" s="152"/>
      <c r="P17" s="152"/>
      <c r="Q17" s="151"/>
      <c r="R17" s="47"/>
    </row>
    <row r="18" spans="1:18" ht="18" customHeight="1">
      <c r="A18" s="11"/>
      <c r="B18" s="190"/>
      <c r="C18" s="177"/>
      <c r="D18" s="183"/>
      <c r="E18" s="180"/>
      <c r="F18" s="171" t="e">
        <v>#N/A</v>
      </c>
      <c r="G18" s="155">
        <f t="shared" si="0"/>
        <v>0</v>
      </c>
      <c r="H18" s="155"/>
      <c r="I18" s="11">
        <f>I17*100/118</f>
        <v>2711.8644067796608</v>
      </c>
      <c r="J18" s="221" t="s">
        <v>37</v>
      </c>
      <c r="K18" s="222"/>
      <c r="L18" s="222"/>
      <c r="M18" s="222"/>
      <c r="N18" s="222"/>
      <c r="O18" s="152"/>
      <c r="P18" s="152"/>
      <c r="Q18" s="151"/>
      <c r="R18" s="47"/>
    </row>
    <row r="19" spans="1:18">
      <c r="A19" s="11">
        <v>10</v>
      </c>
      <c r="B19" s="190"/>
      <c r="C19" s="121"/>
      <c r="D19" s="171"/>
      <c r="E19" s="180"/>
      <c r="F19" s="171" t="e">
        <v>#N/A</v>
      </c>
      <c r="G19" s="155">
        <f t="shared" si="0"/>
        <v>0</v>
      </c>
      <c r="H19" s="155"/>
      <c r="I19" s="11"/>
      <c r="J19" s="11"/>
      <c r="K19" s="11"/>
      <c r="L19" s="11"/>
      <c r="M19" s="2"/>
      <c r="N19" s="151"/>
      <c r="O19" s="152"/>
      <c r="P19" s="152"/>
      <c r="Q19" s="151"/>
      <c r="R19" s="47"/>
    </row>
    <row r="20" spans="1:18" ht="18" customHeight="1">
      <c r="A20" s="11"/>
      <c r="B20" s="190"/>
      <c r="C20" s="177"/>
      <c r="D20" s="171"/>
      <c r="E20" s="180"/>
      <c r="F20" s="171" t="e">
        <v>#N/A</v>
      </c>
      <c r="G20" s="155">
        <f t="shared" si="0"/>
        <v>0</v>
      </c>
      <c r="H20" s="155"/>
      <c r="I20" s="11"/>
      <c r="J20" s="11"/>
      <c r="K20" s="11"/>
      <c r="L20" s="11"/>
      <c r="M20" s="2"/>
      <c r="N20" s="151"/>
      <c r="O20" s="152"/>
      <c r="P20" s="152"/>
      <c r="Q20" s="151"/>
      <c r="R20" s="47"/>
    </row>
    <row r="21" spans="1:18" ht="18" customHeight="1">
      <c r="A21" s="11"/>
      <c r="B21" s="190"/>
      <c r="C21" s="177"/>
      <c r="D21" s="171"/>
      <c r="E21" s="180"/>
      <c r="F21" s="171" t="e">
        <v>#N/A</v>
      </c>
      <c r="G21" s="155">
        <f t="shared" si="0"/>
        <v>0</v>
      </c>
      <c r="H21" s="155"/>
      <c r="I21" s="11"/>
      <c r="J21" s="11"/>
      <c r="K21" s="11"/>
      <c r="L21" s="11"/>
      <c r="M21" s="2">
        <f>(1600/90)</f>
        <v>17.777777777777779</v>
      </c>
      <c r="N21" s="151">
        <f>M21</f>
        <v>17.777777777777779</v>
      </c>
      <c r="O21" s="152">
        <f>N21*10/100</f>
        <v>1.7777777777777777</v>
      </c>
      <c r="P21" s="152"/>
      <c r="Q21" s="151"/>
    </row>
    <row r="22" spans="1:18" ht="18" customHeight="1">
      <c r="A22" s="11"/>
      <c r="B22" s="190"/>
      <c r="C22" s="177"/>
      <c r="D22" s="171"/>
      <c r="E22" s="180"/>
      <c r="F22" s="10" t="e">
        <v>#N/A</v>
      </c>
      <c r="G22" s="155">
        <f t="shared" si="0"/>
        <v>0</v>
      </c>
      <c r="H22" s="155"/>
      <c r="I22" s="11"/>
      <c r="J22" s="11" t="s">
        <v>38</v>
      </c>
      <c r="K22" s="11"/>
      <c r="L22" s="11"/>
      <c r="M22" s="2"/>
      <c r="N22" s="151"/>
      <c r="O22" s="152">
        <f>N21+O21</f>
        <v>19.555555555555557</v>
      </c>
      <c r="P22" s="152"/>
      <c r="Q22" s="151"/>
    </row>
    <row r="23" spans="1:18" ht="18" customHeight="1">
      <c r="A23" s="11"/>
      <c r="B23" s="190"/>
      <c r="C23" s="177"/>
      <c r="D23" s="171"/>
      <c r="E23" s="180"/>
      <c r="F23" s="10" t="e">
        <v>#N/A</v>
      </c>
      <c r="G23" s="155">
        <f t="shared" si="0"/>
        <v>0</v>
      </c>
      <c r="H23" s="155"/>
      <c r="I23" s="11"/>
      <c r="J23" s="11" t="s">
        <v>39</v>
      </c>
      <c r="K23" s="11"/>
      <c r="L23" s="11"/>
      <c r="M23" s="2"/>
      <c r="N23" s="151"/>
      <c r="O23" s="152"/>
      <c r="P23" s="152"/>
      <c r="Q23" s="151"/>
    </row>
    <row r="24" spans="1:18" ht="18" customHeight="1">
      <c r="A24" s="11"/>
      <c r="B24" s="190"/>
      <c r="C24" s="121"/>
      <c r="D24" s="171"/>
      <c r="E24" s="180"/>
      <c r="F24" s="10" t="e">
        <v>#N/A</v>
      </c>
      <c r="G24" s="155">
        <f t="shared" si="0"/>
        <v>0</v>
      </c>
      <c r="H24" s="155"/>
      <c r="I24" s="11"/>
      <c r="J24" s="11" t="s">
        <v>40</v>
      </c>
      <c r="K24" s="11"/>
      <c r="L24" s="11"/>
      <c r="M24" s="2"/>
      <c r="N24" s="151"/>
      <c r="O24" s="153"/>
      <c r="P24" s="154"/>
      <c r="Q24" s="151"/>
    </row>
    <row r="25" spans="1:18" ht="18" customHeight="1">
      <c r="A25" s="11"/>
      <c r="B25" s="190"/>
      <c r="C25" s="121"/>
      <c r="D25" s="171"/>
      <c r="E25" s="180"/>
      <c r="F25" s="10" t="e">
        <v>#N/A</v>
      </c>
      <c r="G25" s="155">
        <f t="shared" si="0"/>
        <v>0</v>
      </c>
      <c r="H25" s="11"/>
      <c r="I25" s="11"/>
      <c r="J25" s="11" t="s">
        <v>41</v>
      </c>
      <c r="K25" s="11"/>
      <c r="L25" s="11"/>
      <c r="M25" s="2"/>
      <c r="N25" s="151"/>
      <c r="O25" s="153"/>
      <c r="P25" s="154"/>
      <c r="Q25" s="151"/>
    </row>
    <row r="26" spans="1:18" ht="18" customHeight="1">
      <c r="A26" s="11"/>
      <c r="B26" s="173"/>
      <c r="C26" s="121"/>
      <c r="D26" s="171"/>
      <c r="E26" s="180"/>
      <c r="F26" s="10" t="e">
        <v>#N/A</v>
      </c>
      <c r="G26" s="155">
        <f t="shared" si="0"/>
        <v>0</v>
      </c>
      <c r="H26" s="11"/>
      <c r="I26" s="11"/>
      <c r="J26" s="11">
        <f>L26*100/118</f>
        <v>593.22033898305085</v>
      </c>
      <c r="K26" s="11">
        <v>18</v>
      </c>
      <c r="L26" s="11">
        <v>700</v>
      </c>
      <c r="M26" s="2"/>
      <c r="N26" s="151">
        <f>2540-2478</f>
        <v>62</v>
      </c>
      <c r="O26" s="153"/>
      <c r="P26" s="154"/>
      <c r="Q26" s="151"/>
    </row>
    <row r="27" spans="1:18" ht="18.75" customHeight="1">
      <c r="A27" s="11"/>
      <c r="B27" s="190"/>
      <c r="C27" s="174"/>
      <c r="D27" s="171"/>
      <c r="E27" s="180"/>
      <c r="F27" s="10" t="e">
        <v>#N/A</v>
      </c>
      <c r="G27" s="155"/>
      <c r="H27" s="11"/>
      <c r="I27" s="11"/>
      <c r="J27" s="11">
        <v>2000</v>
      </c>
      <c r="K27" s="11">
        <v>18</v>
      </c>
      <c r="L27" s="11">
        <f>J27*K27%+J27</f>
        <v>2360</v>
      </c>
      <c r="M27" s="2"/>
      <c r="N27" s="151"/>
      <c r="O27" s="2"/>
      <c r="P27" s="2"/>
    </row>
    <row r="28" spans="1:18" ht="13.5" customHeight="1">
      <c r="A28" s="11"/>
      <c r="B28" s="190"/>
      <c r="C28" s="121"/>
      <c r="D28" s="171"/>
      <c r="E28" s="180"/>
      <c r="F28" s="10"/>
      <c r="G28" s="155"/>
      <c r="H28" s="11"/>
      <c r="I28" s="11"/>
      <c r="J28" s="11"/>
      <c r="K28" s="11"/>
      <c r="L28" s="11"/>
      <c r="M28" s="2"/>
      <c r="N28" s="151"/>
      <c r="O28" s="2"/>
      <c r="P28" s="2"/>
    </row>
    <row r="29" spans="1:18" ht="14.25" customHeight="1">
      <c r="A29" s="11"/>
      <c r="B29" s="190"/>
      <c r="C29" s="121"/>
      <c r="D29" s="171"/>
      <c r="E29" s="180"/>
      <c r="F29" s="10"/>
      <c r="G29" s="8" t="s">
        <v>42</v>
      </c>
      <c r="H29" s="11"/>
      <c r="I29" s="11"/>
      <c r="J29" s="11"/>
      <c r="K29" s="11">
        <f>J26/5</f>
        <v>118.64406779661017</v>
      </c>
      <c r="L29" s="11"/>
      <c r="M29" s="2"/>
      <c r="N29" s="151"/>
      <c r="O29" s="2"/>
      <c r="P29" s="2"/>
    </row>
    <row r="30" spans="1:18" ht="18" customHeight="1">
      <c r="A30" s="11"/>
      <c r="B30" s="21"/>
      <c r="C30" s="45"/>
      <c r="D30" s="135" t="s">
        <v>43</v>
      </c>
      <c r="E30" s="195">
        <f>SUM(E13:E29)</f>
        <v>500</v>
      </c>
      <c r="F30" s="10"/>
      <c r="G30" s="11">
        <f>SUM(G13:G29)</f>
        <v>423.72881355932202</v>
      </c>
      <c r="H30" s="11"/>
      <c r="I30" s="11"/>
      <c r="J30" s="11"/>
      <c r="K30" s="11"/>
      <c r="L30" s="11"/>
      <c r="M30" s="2"/>
      <c r="N30" s="2"/>
      <c r="O30" s="2"/>
      <c r="P30" s="2"/>
    </row>
    <row r="31" spans="1:18" ht="16.5" customHeight="1">
      <c r="A31" s="11"/>
      <c r="B31" s="22"/>
      <c r="C31" s="160" t="str">
        <f>IF(E10="IS_S","Integrated Tax(IGST)","")</f>
        <v/>
      </c>
      <c r="D31" s="161" t="str">
        <f>IF(C31="Integrated Tax(IGST)","18%","")</f>
        <v/>
      </c>
      <c r="E31" s="195" t="str">
        <f>IFERROR(ROUND((E30*D31)*1,0)/1,"")</f>
        <v/>
      </c>
      <c r="F31" s="10"/>
      <c r="G31" s="11"/>
      <c r="H31" s="11"/>
      <c r="I31" s="11"/>
      <c r="J31" s="11">
        <f>593.22/10</f>
        <v>59.322000000000003</v>
      </c>
      <c r="K31" s="11">
        <f>815*18%+815</f>
        <v>961.7</v>
      </c>
      <c r="L31" s="11">
        <f>5100-2400</f>
        <v>2700</v>
      </c>
      <c r="M31" s="2">
        <f>4320.3-2400</f>
        <v>1920.3000000000002</v>
      </c>
      <c r="N31" s="2"/>
      <c r="O31" s="2"/>
      <c r="P31" s="2"/>
      <c r="Q31">
        <v>2227</v>
      </c>
    </row>
    <row r="32" spans="1:18" ht="18" customHeight="1">
      <c r="A32" s="11"/>
      <c r="B32" s="22"/>
      <c r="C32" s="45" t="str">
        <f>IF($E$10="State","Central Tax(CGST)", IF($E$10="Higher", "Central(GST)",""))</f>
        <v/>
      </c>
      <c r="D32" s="46" t="str">
        <f>IF($C$32="Central Tax(CGST)","9%", IF($C$32="Central(GST)", "14%",""))</f>
        <v/>
      </c>
      <c r="E32" s="195" t="str">
        <f>IFERROR(ROUND((E30*D32)*1,2)/1,"")</f>
        <v/>
      </c>
      <c r="F32" s="10"/>
      <c r="G32" s="11"/>
      <c r="H32" s="11"/>
      <c r="I32" s="11"/>
      <c r="J32" s="11"/>
      <c r="K32" s="11">
        <v>5254</v>
      </c>
      <c r="L32" s="11"/>
      <c r="M32" s="2"/>
      <c r="N32" s="2"/>
      <c r="O32" s="2"/>
      <c r="P32" s="2"/>
      <c r="Q32">
        <v>2150</v>
      </c>
    </row>
    <row r="33" spans="1:16" ht="18" customHeight="1">
      <c r="A33" s="11"/>
      <c r="B33" s="22"/>
      <c r="C33" s="45" t="str">
        <f>IF($E10="State","State Tax(SGST)", IF($E10="Higher", "State(GST)",""))</f>
        <v/>
      </c>
      <c r="D33" s="46" t="str">
        <f>IF($C$33="State Tax(SGST)","9%", IF($C$33="State(GST)", "14%",""))</f>
        <v/>
      </c>
      <c r="E33" s="195" t="str">
        <f>IFERROR(ROUND((E30*D33)*1,2)/1,"")</f>
        <v/>
      </c>
      <c r="F33" s="10"/>
      <c r="G33" s="11"/>
      <c r="H33" s="11"/>
      <c r="I33" s="11"/>
      <c r="J33" s="11"/>
      <c r="K33" s="11"/>
      <c r="L33" s="11"/>
      <c r="M33" s="2"/>
      <c r="N33" s="2"/>
      <c r="O33" s="2"/>
      <c r="P33" s="2"/>
    </row>
    <row r="34" spans="1:16" ht="18" customHeight="1" thickBot="1">
      <c r="A34" s="11"/>
      <c r="B34" s="22"/>
      <c r="C34" s="219" t="s">
        <v>44</v>
      </c>
      <c r="D34" s="220"/>
      <c r="E34" s="196"/>
      <c r="F34" s="10"/>
      <c r="G34" s="11"/>
      <c r="H34" s="11" t="s">
        <v>45</v>
      </c>
      <c r="I34" s="11"/>
      <c r="J34" s="11">
        <f>4601/300</f>
        <v>15.336666666666666</v>
      </c>
      <c r="K34" s="11"/>
      <c r="M34" s="2"/>
      <c r="N34" s="2"/>
      <c r="O34" s="2"/>
      <c r="P34" s="2"/>
    </row>
    <row r="35" spans="1:16" ht="18" customHeight="1" thickBot="1">
      <c r="A35" s="11"/>
      <c r="B35" s="58"/>
      <c r="C35" s="225" t="s">
        <v>46</v>
      </c>
      <c r="D35" s="226"/>
      <c r="E35" s="59"/>
      <c r="F35" s="10"/>
      <c r="G35" s="11"/>
      <c r="H35" s="11"/>
      <c r="I35" s="11"/>
      <c r="J35" s="11"/>
      <c r="K35" s="11"/>
      <c r="L35" s="11"/>
      <c r="M35" s="2"/>
      <c r="N35" s="2"/>
      <c r="O35" s="2"/>
      <c r="P35" s="2"/>
    </row>
    <row r="36" spans="1:16" ht="18" customHeight="1" thickBot="1">
      <c r="A36" s="11"/>
      <c r="B36" s="175"/>
      <c r="C36" s="225" t="s">
        <v>47</v>
      </c>
      <c r="D36" s="226"/>
      <c r="E36" s="59">
        <f>ROUNDUP(SUM(E30:E33)*1,0)/1-E35</f>
        <v>500</v>
      </c>
      <c r="F36" s="10"/>
      <c r="G36" s="11"/>
      <c r="H36" s="11"/>
      <c r="I36" s="11"/>
      <c r="J36" s="11"/>
      <c r="K36" s="11"/>
      <c r="L36" s="11"/>
      <c r="M36" s="2"/>
      <c r="N36" s="2">
        <f>38551-881</f>
        <v>37670</v>
      </c>
      <c r="O36" s="2"/>
      <c r="P36" s="2"/>
    </row>
    <row r="37" spans="1:16" ht="17.25" customHeight="1" thickBot="1">
      <c r="A37" s="11"/>
      <c r="B37" s="236" t="e">
        <f ca="1">[4]!rswords(E36)</f>
        <v>#NAME?</v>
      </c>
      <c r="C37" s="237"/>
      <c r="D37" s="237"/>
      <c r="E37" s="238"/>
      <c r="F37" s="10"/>
      <c r="G37" s="11"/>
      <c r="H37" s="11" t="s">
        <v>48</v>
      </c>
      <c r="I37" s="11"/>
      <c r="J37" s="11"/>
      <c r="K37" s="11"/>
      <c r="L37" s="11"/>
      <c r="M37" s="2"/>
      <c r="N37" s="2"/>
      <c r="O37" s="2"/>
      <c r="P37" s="2"/>
    </row>
    <row r="38" spans="1:16" ht="16.5" customHeight="1">
      <c r="A38" s="11"/>
      <c r="B38" s="26"/>
      <c r="C38" s="42" t="s">
        <v>49</v>
      </c>
      <c r="D38" s="4"/>
      <c r="E38" s="17"/>
      <c r="F38" s="10"/>
      <c r="G38" s="11"/>
      <c r="H38" s="11"/>
      <c r="I38" s="11"/>
      <c r="J38" s="11"/>
      <c r="K38" s="11"/>
      <c r="L38" s="11"/>
      <c r="M38" s="2"/>
      <c r="N38" s="2"/>
      <c r="O38" s="2"/>
      <c r="P38" s="2"/>
    </row>
    <row r="39" spans="1:16" ht="18.95" customHeight="1">
      <c r="A39" s="11"/>
      <c r="B39" s="40" t="s">
        <v>50</v>
      </c>
      <c r="C39" s="39" t="s">
        <v>51</v>
      </c>
      <c r="D39" s="28"/>
      <c r="E39" s="29"/>
      <c r="F39" s="10"/>
      <c r="G39" s="11"/>
      <c r="H39" s="11"/>
      <c r="I39" s="11"/>
      <c r="J39" s="11"/>
      <c r="K39" s="11"/>
      <c r="L39" s="11"/>
      <c r="M39" s="2"/>
      <c r="N39" s="2"/>
      <c r="O39" s="2"/>
      <c r="P39" s="2"/>
    </row>
    <row r="40" spans="1:16" ht="18.95" customHeight="1">
      <c r="A40" s="11"/>
      <c r="B40" s="41" t="s">
        <v>52</v>
      </c>
      <c r="C40" s="42" t="s">
        <v>1</v>
      </c>
      <c r="D40" s="6"/>
      <c r="E40" s="30"/>
      <c r="F40" s="10"/>
      <c r="G40" s="11"/>
      <c r="H40" s="11"/>
      <c r="I40" s="11"/>
      <c r="J40" s="11"/>
      <c r="K40" s="11"/>
      <c r="L40" s="11"/>
      <c r="M40" s="2"/>
      <c r="N40" s="2"/>
      <c r="O40" s="2"/>
      <c r="P40" s="2"/>
    </row>
    <row r="41" spans="1:16" ht="18.95" customHeight="1">
      <c r="A41" s="11"/>
      <c r="B41" s="139" t="s">
        <v>53</v>
      </c>
      <c r="C41" s="158" t="s">
        <v>54</v>
      </c>
      <c r="D41" s="6"/>
      <c r="E41" s="30"/>
      <c r="F41" s="10"/>
      <c r="G41" s="11"/>
      <c r="H41" s="11"/>
      <c r="I41" s="11"/>
      <c r="J41" s="11"/>
      <c r="K41" s="11"/>
      <c r="L41" s="11"/>
      <c r="M41" s="2"/>
      <c r="N41" s="2"/>
      <c r="O41" s="2"/>
      <c r="P41" s="2"/>
    </row>
    <row r="42" spans="1:16" ht="18.95" customHeight="1">
      <c r="A42" s="11"/>
      <c r="B42" s="41" t="s">
        <v>55</v>
      </c>
      <c r="C42" s="159" t="s">
        <v>56</v>
      </c>
      <c r="D42" s="6"/>
      <c r="E42" s="30"/>
      <c r="F42" s="10"/>
      <c r="G42" s="8"/>
      <c r="H42" s="11"/>
      <c r="I42" s="11"/>
      <c r="J42" s="11"/>
      <c r="K42" s="11">
        <v>3371</v>
      </c>
      <c r="L42" s="11"/>
      <c r="M42" s="2"/>
      <c r="N42" s="2"/>
      <c r="O42" s="2"/>
      <c r="P42" s="2"/>
    </row>
    <row r="43" spans="1:16" ht="15.95" customHeight="1">
      <c r="A43" s="11"/>
      <c r="B43" s="24" t="s">
        <v>57</v>
      </c>
      <c r="C43" s="172" t="s">
        <v>41</v>
      </c>
      <c r="D43" s="21"/>
      <c r="E43" s="27"/>
      <c r="F43" s="10"/>
      <c r="G43" s="11"/>
      <c r="H43" s="11"/>
      <c r="I43" s="11"/>
      <c r="J43" s="11"/>
      <c r="K43" s="11">
        <v>2944</v>
      </c>
      <c r="L43" s="11"/>
      <c r="M43" s="2"/>
      <c r="N43" s="2"/>
      <c r="O43" s="2"/>
      <c r="P43" s="2"/>
    </row>
    <row r="44" spans="1:16" ht="15.95" customHeight="1">
      <c r="A44" s="11"/>
      <c r="B44" s="23" t="s">
        <v>58</v>
      </c>
      <c r="C44" s="25"/>
      <c r="D44" s="16"/>
      <c r="E44" s="25" t="s">
        <v>59</v>
      </c>
      <c r="F44" s="10"/>
      <c r="G44" s="11"/>
      <c r="H44" s="11"/>
      <c r="I44" s="11"/>
      <c r="J44" s="11"/>
      <c r="K44" s="11">
        <v>3268</v>
      </c>
      <c r="L44" s="11"/>
      <c r="M44" s="2"/>
      <c r="N44" s="2"/>
      <c r="O44" s="2"/>
      <c r="P44" s="2"/>
    </row>
    <row r="45" spans="1:16" ht="15.95" customHeight="1">
      <c r="A45" s="11"/>
      <c r="B45" s="23" t="s">
        <v>60</v>
      </c>
      <c r="C45" s="25"/>
      <c r="D45" s="22"/>
      <c r="E45" s="30"/>
      <c r="F45" s="10"/>
      <c r="G45" s="11"/>
      <c r="H45" s="11"/>
      <c r="I45" s="11"/>
      <c r="J45" s="11"/>
      <c r="K45" s="11"/>
      <c r="L45" s="11"/>
      <c r="M45" s="2"/>
      <c r="N45" s="2"/>
      <c r="O45" s="2"/>
      <c r="P45" s="2"/>
    </row>
    <row r="46" spans="1:16" ht="15.95" customHeight="1">
      <c r="A46" s="11"/>
      <c r="B46" s="23" t="s">
        <v>61</v>
      </c>
      <c r="C46" s="25"/>
      <c r="D46" s="31"/>
      <c r="E46" s="30"/>
      <c r="F46" s="10"/>
      <c r="G46" s="11"/>
      <c r="H46" s="11"/>
      <c r="I46" s="11"/>
      <c r="J46" s="11"/>
      <c r="K46" s="11"/>
      <c r="L46" s="11"/>
      <c r="M46" s="2"/>
      <c r="N46" s="2"/>
      <c r="O46" s="2"/>
      <c r="P46" s="2"/>
    </row>
    <row r="47" spans="1:16" ht="15.95" customHeight="1">
      <c r="A47" s="11"/>
      <c r="B47" s="32" t="s">
        <v>62</v>
      </c>
      <c r="C47" s="19"/>
      <c r="D47" s="18"/>
      <c r="E47" s="19" t="s">
        <v>63</v>
      </c>
      <c r="F47" s="10"/>
      <c r="G47" s="11"/>
      <c r="H47" s="11"/>
      <c r="I47" s="11"/>
      <c r="J47" s="11"/>
      <c r="K47" s="11"/>
      <c r="L47" s="11"/>
      <c r="M47" s="2"/>
      <c r="N47" s="2"/>
      <c r="O47" s="2"/>
      <c r="P47" s="2"/>
    </row>
    <row r="48" spans="1:16" hidden="1">
      <c r="A48" s="11"/>
      <c r="F48" s="10"/>
      <c r="G48" s="11"/>
      <c r="H48" s="11"/>
      <c r="I48" s="11"/>
      <c r="J48" s="11"/>
      <c r="K48" s="11"/>
      <c r="L48" s="11"/>
      <c r="M48" s="2"/>
      <c r="N48" s="2"/>
      <c r="O48" s="2"/>
      <c r="P48" s="2"/>
    </row>
    <row r="49" spans="1:16" ht="15" customHeight="1">
      <c r="A49" s="11"/>
      <c r="B49" s="233" t="s">
        <v>64</v>
      </c>
      <c r="C49" s="234"/>
      <c r="D49" s="234"/>
      <c r="E49" s="235"/>
      <c r="F49" s="10"/>
      <c r="G49" s="11"/>
      <c r="H49" s="11"/>
      <c r="I49" s="11"/>
      <c r="J49" s="11"/>
      <c r="K49" s="11"/>
      <c r="L49" s="11"/>
      <c r="M49" s="2"/>
      <c r="N49" s="2"/>
      <c r="O49" s="2"/>
      <c r="P49" s="2"/>
    </row>
    <row r="50" spans="1:16">
      <c r="A50" s="11"/>
      <c r="B50" s="230" t="s">
        <v>65</v>
      </c>
      <c r="C50" s="231"/>
      <c r="D50" s="231"/>
      <c r="E50" s="232"/>
      <c r="F50" s="10"/>
      <c r="G50" s="11"/>
      <c r="H50" s="11"/>
      <c r="I50" s="11"/>
      <c r="J50" s="11"/>
      <c r="K50" s="11"/>
      <c r="L50" s="11"/>
      <c r="M50" s="2"/>
      <c r="N50" s="2"/>
      <c r="O50" s="2"/>
      <c r="P50" s="2"/>
    </row>
    <row r="51" spans="1:16" ht="9.75" hidden="1" customHeight="1">
      <c r="A51" s="11"/>
      <c r="B51" s="20"/>
      <c r="C51" s="5"/>
      <c r="D51" s="5"/>
      <c r="E51" s="17"/>
      <c r="F51" s="10"/>
      <c r="G51" s="11"/>
      <c r="H51" s="11"/>
      <c r="I51" s="11"/>
      <c r="J51" s="11"/>
      <c r="K51" s="11"/>
      <c r="L51" s="11"/>
      <c r="M51" s="2"/>
      <c r="N51" s="2"/>
      <c r="O51" s="2"/>
      <c r="P51" s="2"/>
    </row>
    <row r="52" spans="1:16">
      <c r="A52" s="11"/>
      <c r="B52" s="227" t="s">
        <v>66</v>
      </c>
      <c r="C52" s="228"/>
      <c r="D52" s="228"/>
      <c r="E52" s="229"/>
      <c r="F52" s="10"/>
      <c r="G52" s="11"/>
      <c r="H52" s="11"/>
      <c r="I52" s="11"/>
      <c r="J52" s="11"/>
      <c r="K52" s="11"/>
      <c r="L52" s="11"/>
      <c r="M52" s="2"/>
      <c r="N52" s="2"/>
      <c r="O52" s="2"/>
      <c r="P52" s="2"/>
    </row>
    <row r="53" spans="1:16">
      <c r="A53" s="11"/>
      <c r="B53" s="10"/>
      <c r="C53" s="10"/>
      <c r="D53" s="10"/>
      <c r="E53" s="10"/>
      <c r="F53" s="10"/>
      <c r="G53" s="11"/>
      <c r="H53" s="11"/>
      <c r="I53" s="11"/>
      <c r="J53" s="11"/>
      <c r="K53" s="11"/>
      <c r="L53" s="11"/>
      <c r="M53" s="2"/>
      <c r="N53" s="2"/>
      <c r="O53" s="2"/>
      <c r="P53" s="2"/>
    </row>
    <row r="54" spans="1:16">
      <c r="A54" s="11"/>
      <c r="B54" s="10"/>
      <c r="C54" s="10"/>
      <c r="D54" s="10"/>
      <c r="E54" s="10"/>
      <c r="F54" s="10"/>
      <c r="G54" s="11"/>
      <c r="H54" s="11"/>
      <c r="I54" s="11"/>
      <c r="J54" s="11"/>
      <c r="K54" s="11"/>
      <c r="L54" s="11"/>
      <c r="M54" s="2"/>
      <c r="N54" s="2"/>
      <c r="O54" s="2"/>
      <c r="P54" s="2"/>
    </row>
    <row r="55" spans="1:16">
      <c r="A55" s="11"/>
      <c r="B55" s="10"/>
      <c r="C55" s="10"/>
      <c r="D55" s="10"/>
      <c r="E55" s="10"/>
      <c r="F55" s="10"/>
      <c r="G55" s="11"/>
      <c r="H55" s="11"/>
      <c r="I55" s="11"/>
      <c r="J55" s="11"/>
      <c r="K55" s="11"/>
      <c r="L55" s="11"/>
      <c r="M55" s="2"/>
      <c r="N55" s="2"/>
      <c r="O55" s="2"/>
      <c r="P55" s="2"/>
    </row>
    <row r="56" spans="1:16">
      <c r="A56" s="11"/>
      <c r="B56" s="10"/>
      <c r="C56" s="10"/>
      <c r="D56" s="10"/>
      <c r="E56" s="10"/>
      <c r="F56" s="10"/>
      <c r="G56" s="11"/>
      <c r="H56" s="11"/>
      <c r="I56" s="11"/>
      <c r="J56" s="11"/>
      <c r="K56" s="11"/>
      <c r="L56" s="11"/>
      <c r="M56" s="2"/>
      <c r="N56" s="2"/>
      <c r="O56" s="2"/>
      <c r="P56" s="2"/>
    </row>
    <row r="57" spans="1:16">
      <c r="A57" s="11"/>
      <c r="B57" s="10"/>
      <c r="C57" s="10"/>
      <c r="D57" s="10"/>
      <c r="E57" s="10"/>
      <c r="F57" s="10"/>
      <c r="G57" s="11"/>
      <c r="H57" s="11"/>
      <c r="I57" s="11"/>
      <c r="J57" s="11"/>
      <c r="K57" s="11"/>
      <c r="L57" s="11"/>
      <c r="M57" s="2"/>
      <c r="N57" s="2"/>
      <c r="O57" s="2"/>
      <c r="P57" s="2"/>
    </row>
    <row r="58" spans="1:16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</row>
    <row r="59" spans="1:16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</row>
    <row r="60" spans="1:16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</row>
    <row r="61" spans="1:16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</row>
    <row r="62" spans="1:16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</row>
    <row r="63" spans="1:16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</row>
  </sheetData>
  <mergeCells count="18">
    <mergeCell ref="C35:D35"/>
    <mergeCell ref="B52:E52"/>
    <mergeCell ref="B50:E50"/>
    <mergeCell ref="B49:E49"/>
    <mergeCell ref="B37:E37"/>
    <mergeCell ref="C36:D36"/>
    <mergeCell ref="B5:C5"/>
    <mergeCell ref="D3:E3"/>
    <mergeCell ref="B6:C6"/>
    <mergeCell ref="C34:D34"/>
    <mergeCell ref="J18:N18"/>
    <mergeCell ref="B4:C4"/>
    <mergeCell ref="L1:M1"/>
    <mergeCell ref="Q1:R1"/>
    <mergeCell ref="N7:O7"/>
    <mergeCell ref="D5:E5"/>
    <mergeCell ref="D1:E1"/>
    <mergeCell ref="D7:E7"/>
  </mergeCells>
  <dataValidations count="1">
    <dataValidation type="list" allowBlank="1" showInputMessage="1" showErrorMessage="1" sqref="E10">
      <formula1>"State,IS_S,Higher,CASH,RETAIL"</formula1>
    </dataValidation>
  </dataValidations>
  <hyperlinks>
    <hyperlink ref="G29" r:id="rId1"/>
    <hyperlink ref="D5" display="esyndicates@gmail.com"/>
  </hyperlinks>
  <pageMargins left="1.5374015750000001" right="0.196850393700787" top="0.59055118110236204" bottom="0.39370078740157499" header="0.43307086614173201" footer="0.31496062992126"/>
  <pageSetup scale="88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8" r:id="rId5" name="Button 6">
              <controlPr defaultSize="0" print="0" autoFill="0" autoPict="0" macro="[0]!INV">
                <anchor moveWithCells="1" sizeWithCells="1">
                  <from>
                    <xdr:col>5</xdr:col>
                    <xdr:colOff>371475</xdr:colOff>
                    <xdr:row>2</xdr:row>
                    <xdr:rowOff>133350</xdr:rowOff>
                  </from>
                  <to>
                    <xdr:col>6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Formc">
                <anchor moveWithCells="1" sizeWithCells="1">
                  <from>
                    <xdr:col>6</xdr:col>
                    <xdr:colOff>581025</xdr:colOff>
                    <xdr:row>2</xdr:row>
                    <xdr:rowOff>133350</xdr:rowOff>
                  </from>
                  <to>
                    <xdr:col>7</xdr:col>
                    <xdr:colOff>600075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80" r:id="rId7" name="Button 8">
              <controlPr defaultSize="0" print="0" autoFill="0" autoPict="0" macro="[0]!Pnt">
                <anchor moveWithCells="1" sizeWithCells="1">
                  <from>
                    <xdr:col>8</xdr:col>
                    <xdr:colOff>133350</xdr:colOff>
                    <xdr:row>2</xdr:row>
                    <xdr:rowOff>142875</xdr:rowOff>
                  </from>
                  <to>
                    <xdr:col>9</xdr:col>
                    <xdr:colOff>76200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REGISTRY!$B$5:$B$127</xm:f>
          </x14:formula1>
          <xm:sqref>B3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pageSetUpPr fitToPage="1"/>
  </sheetPr>
  <dimension ref="A1:W407"/>
  <sheetViews>
    <sheetView tabSelected="1" zoomScale="80" zoomScaleNormal="80" workbookViewId="0">
      <pane xSplit="1" ySplit="1" topLeftCell="B372" activePane="bottomRight" state="frozen"/>
      <selection pane="topRight" activeCell="B1" sqref="B1"/>
      <selection pane="bottomLeft" activeCell="A2" sqref="A2"/>
      <selection pane="bottomRight" activeCell="C411" sqref="C411"/>
    </sheetView>
  </sheetViews>
  <sheetFormatPr defaultRowHeight="15"/>
  <cols>
    <col min="1" max="1" width="13" style="1" customWidth="1"/>
    <col min="2" max="2" width="15.85546875" style="134" bestFit="1" customWidth="1"/>
    <col min="3" max="3" width="37" style="1" customWidth="1"/>
    <col min="4" max="4" width="13.140625" style="128" customWidth="1"/>
    <col min="5" max="5" width="125.28515625" style="1" customWidth="1"/>
    <col min="6" max="6" width="17.5703125" style="132" bestFit="1" customWidth="1"/>
    <col min="7" max="7" width="16.85546875" style="132" customWidth="1"/>
    <col min="8" max="8" width="9.85546875" customWidth="1"/>
    <col min="9" max="9" width="21" customWidth="1"/>
    <col min="10" max="10" width="23.7109375" bestFit="1" customWidth="1"/>
    <col min="11" max="11" width="9.28515625" customWidth="1"/>
    <col min="12" max="12" width="9.5703125" hidden="1" customWidth="1"/>
    <col min="13" max="13" width="8.85546875" hidden="1" customWidth="1"/>
    <col min="14" max="14" width="8.7109375" hidden="1" customWidth="1"/>
    <col min="15" max="15" width="7.28515625" hidden="1" customWidth="1"/>
    <col min="16" max="16" width="13.85546875" hidden="1" customWidth="1"/>
    <col min="17" max="17" width="9.140625" hidden="1" customWidth="1"/>
    <col min="18" max="18" width="10.7109375" style="142" bestFit="1" customWidth="1"/>
    <col min="19" max="20" width="9.140625" hidden="1" customWidth="1"/>
    <col min="21" max="21" width="17.7109375" customWidth="1"/>
    <col min="22" max="22" width="14.42578125" bestFit="1" customWidth="1"/>
    <col min="23" max="23" width="13.140625" bestFit="1" customWidth="1"/>
    <col min="24" max="24" width="11.7109375" bestFit="1" customWidth="1"/>
    <col min="36" max="36" width="11.7109375" bestFit="1" customWidth="1"/>
    <col min="37" max="37" width="13" bestFit="1" customWidth="1"/>
  </cols>
  <sheetData>
    <row r="1" spans="1:15">
      <c r="A1" s="15" t="s">
        <v>67</v>
      </c>
      <c r="B1" s="140" t="s">
        <v>68</v>
      </c>
      <c r="C1" s="15" t="s">
        <v>69</v>
      </c>
      <c r="D1" s="130" t="s">
        <v>70</v>
      </c>
      <c r="E1" s="15" t="s">
        <v>71</v>
      </c>
      <c r="F1" s="131" t="s">
        <v>72</v>
      </c>
      <c r="G1" s="131" t="s">
        <v>73</v>
      </c>
      <c r="H1" s="15" t="s">
        <v>74</v>
      </c>
      <c r="I1" s="15" t="s">
        <v>75</v>
      </c>
      <c r="J1" s="15" t="s">
        <v>76</v>
      </c>
      <c r="K1" s="15" t="s">
        <v>77</v>
      </c>
      <c r="L1" s="15" t="s">
        <v>78</v>
      </c>
      <c r="M1" s="15" t="s">
        <v>79</v>
      </c>
      <c r="N1" s="15" t="s">
        <v>80</v>
      </c>
      <c r="O1" s="15" t="s">
        <v>81</v>
      </c>
    </row>
    <row r="2" spans="1:15">
      <c r="A2" s="123">
        <v>252603</v>
      </c>
      <c r="B2" s="162">
        <v>45762</v>
      </c>
      <c r="C2" s="1" t="s">
        <v>82</v>
      </c>
      <c r="D2" s="128">
        <v>5</v>
      </c>
      <c r="E2" s="115" t="s">
        <v>83</v>
      </c>
      <c r="F2" s="132">
        <v>297</v>
      </c>
      <c r="G2" s="181">
        <v>1485</v>
      </c>
      <c r="H2" t="s">
        <v>31</v>
      </c>
      <c r="J2" t="s">
        <v>24</v>
      </c>
      <c r="K2" t="s">
        <v>10</v>
      </c>
    </row>
    <row r="3" spans="1:15">
      <c r="A3" s="123">
        <v>252603</v>
      </c>
      <c r="B3" s="162">
        <v>45762</v>
      </c>
      <c r="C3" s="1" t="s">
        <v>82</v>
      </c>
      <c r="D3" s="128">
        <v>24</v>
      </c>
      <c r="E3" s="115" t="s">
        <v>84</v>
      </c>
      <c r="F3" s="132">
        <v>10.4</v>
      </c>
      <c r="G3" s="181">
        <v>249.60000000000002</v>
      </c>
      <c r="H3" t="s">
        <v>31</v>
      </c>
      <c r="J3" t="s">
        <v>24</v>
      </c>
      <c r="K3" t="s">
        <v>10</v>
      </c>
    </row>
    <row r="4" spans="1:15">
      <c r="A4" s="123">
        <v>252603</v>
      </c>
      <c r="B4" s="162">
        <v>45762</v>
      </c>
      <c r="C4" s="1" t="s">
        <v>82</v>
      </c>
      <c r="D4" s="128">
        <v>6</v>
      </c>
      <c r="E4" s="115" t="s">
        <v>85</v>
      </c>
      <c r="F4" s="132">
        <v>32</v>
      </c>
      <c r="G4" s="133">
        <v>192</v>
      </c>
      <c r="H4" t="s">
        <v>31</v>
      </c>
      <c r="J4" t="s">
        <v>24</v>
      </c>
      <c r="K4" t="s">
        <v>10</v>
      </c>
    </row>
    <row r="5" spans="1:15">
      <c r="A5" s="123">
        <v>252603</v>
      </c>
      <c r="B5" s="162">
        <v>45762</v>
      </c>
      <c r="C5" s="1" t="s">
        <v>82</v>
      </c>
      <c r="D5" s="128">
        <v>2</v>
      </c>
      <c r="E5" s="115" t="s">
        <v>86</v>
      </c>
      <c r="F5" s="132">
        <v>232</v>
      </c>
      <c r="G5" s="133">
        <v>464</v>
      </c>
      <c r="H5" t="s">
        <v>31</v>
      </c>
      <c r="J5" t="s">
        <v>24</v>
      </c>
      <c r="K5" t="s">
        <v>10</v>
      </c>
    </row>
    <row r="6" spans="1:15">
      <c r="A6" s="123">
        <v>252603</v>
      </c>
      <c r="B6" s="162">
        <v>45762</v>
      </c>
      <c r="C6" s="1" t="s">
        <v>82</v>
      </c>
      <c r="D6" s="128">
        <v>2</v>
      </c>
      <c r="E6" s="115" t="s">
        <v>87</v>
      </c>
      <c r="F6" s="132">
        <v>354</v>
      </c>
      <c r="G6" s="181">
        <v>708</v>
      </c>
      <c r="H6" t="s">
        <v>31</v>
      </c>
      <c r="J6" t="s">
        <v>24</v>
      </c>
      <c r="K6" t="s">
        <v>10</v>
      </c>
    </row>
    <row r="7" spans="1:15">
      <c r="A7" s="123">
        <v>252603</v>
      </c>
      <c r="B7" s="162">
        <v>45762</v>
      </c>
      <c r="C7" s="1" t="s">
        <v>82</v>
      </c>
      <c r="D7" s="128">
        <v>10</v>
      </c>
      <c r="E7" s="115" t="s">
        <v>88</v>
      </c>
      <c r="F7" s="132">
        <v>12</v>
      </c>
      <c r="G7" s="133">
        <v>120</v>
      </c>
      <c r="H7" t="s">
        <v>31</v>
      </c>
      <c r="J7" t="s">
        <v>24</v>
      </c>
      <c r="K7" t="s">
        <v>10</v>
      </c>
    </row>
    <row r="8" spans="1:15">
      <c r="A8" s="123">
        <v>252604</v>
      </c>
      <c r="B8" s="162">
        <v>45769</v>
      </c>
      <c r="C8" s="1" t="s">
        <v>89</v>
      </c>
      <c r="D8" s="128">
        <v>1</v>
      </c>
      <c r="E8" s="115" t="s">
        <v>90</v>
      </c>
      <c r="F8" s="132">
        <v>490</v>
      </c>
      <c r="G8" s="133">
        <v>490</v>
      </c>
      <c r="H8" t="s">
        <v>31</v>
      </c>
      <c r="J8" t="s">
        <v>24</v>
      </c>
      <c r="K8" t="s">
        <v>10</v>
      </c>
    </row>
    <row r="9" spans="1:15">
      <c r="A9" s="123">
        <v>252605</v>
      </c>
      <c r="B9" s="162">
        <v>45770</v>
      </c>
      <c r="C9" s="1" t="s">
        <v>91</v>
      </c>
      <c r="D9" s="128">
        <v>1</v>
      </c>
      <c r="E9" s="115" t="s">
        <v>92</v>
      </c>
      <c r="F9" s="132">
        <v>330</v>
      </c>
      <c r="G9" s="133">
        <v>330</v>
      </c>
      <c r="H9" t="s">
        <v>31</v>
      </c>
      <c r="J9" t="s">
        <v>24</v>
      </c>
      <c r="K9" t="s">
        <v>10</v>
      </c>
    </row>
    <row r="10" spans="1:15" ht="51.75">
      <c r="A10" s="123">
        <v>252606</v>
      </c>
      <c r="B10" s="162">
        <v>45777</v>
      </c>
      <c r="C10" s="1" t="s">
        <v>89</v>
      </c>
      <c r="D10" s="128">
        <v>1</v>
      </c>
      <c r="E10" s="178" t="s">
        <v>93</v>
      </c>
      <c r="F10" s="132">
        <v>17650</v>
      </c>
      <c r="G10" s="133">
        <v>17650</v>
      </c>
      <c r="H10" t="s">
        <v>31</v>
      </c>
      <c r="J10" t="s">
        <v>24</v>
      </c>
      <c r="K10" t="s">
        <v>10</v>
      </c>
    </row>
    <row r="11" spans="1:15">
      <c r="A11" s="123">
        <v>252606</v>
      </c>
      <c r="B11" s="162">
        <v>45777</v>
      </c>
      <c r="C11" s="1" t="s">
        <v>89</v>
      </c>
      <c r="E11" s="115" t="s">
        <v>94</v>
      </c>
      <c r="G11" s="133"/>
      <c r="H11" t="s">
        <v>31</v>
      </c>
      <c r="J11" t="s">
        <v>24</v>
      </c>
      <c r="K11" t="s">
        <v>10</v>
      </c>
    </row>
    <row r="12" spans="1:15">
      <c r="A12" s="123">
        <v>252607</v>
      </c>
      <c r="B12" s="162">
        <v>45779</v>
      </c>
      <c r="C12" s="1" t="s">
        <v>95</v>
      </c>
      <c r="D12" s="128">
        <v>1</v>
      </c>
      <c r="E12" s="115" t="s">
        <v>96</v>
      </c>
      <c r="F12" s="132">
        <v>27860</v>
      </c>
      <c r="G12" s="149">
        <v>27860</v>
      </c>
      <c r="H12" t="s">
        <v>31</v>
      </c>
      <c r="J12" t="s">
        <v>24</v>
      </c>
      <c r="K12" t="s">
        <v>10</v>
      </c>
    </row>
    <row r="13" spans="1:15">
      <c r="A13" s="123">
        <v>252608</v>
      </c>
      <c r="B13" s="162">
        <v>45779</v>
      </c>
      <c r="C13" s="1" t="s">
        <v>97</v>
      </c>
      <c r="D13" s="128">
        <v>1</v>
      </c>
      <c r="E13" s="115" t="s">
        <v>98</v>
      </c>
      <c r="F13" s="132">
        <v>646</v>
      </c>
      <c r="G13" s="149">
        <v>646</v>
      </c>
      <c r="H13" t="s">
        <v>26</v>
      </c>
      <c r="I13" t="s">
        <v>99</v>
      </c>
      <c r="J13" t="s">
        <v>24</v>
      </c>
      <c r="K13" t="s">
        <v>10</v>
      </c>
    </row>
    <row r="14" spans="1:15">
      <c r="A14" s="123">
        <v>252608</v>
      </c>
      <c r="B14" s="162">
        <v>45779</v>
      </c>
      <c r="C14" s="1" t="s">
        <v>97</v>
      </c>
      <c r="D14" s="128">
        <v>2</v>
      </c>
      <c r="E14" s="115" t="s">
        <v>100</v>
      </c>
      <c r="F14" s="132">
        <v>759</v>
      </c>
      <c r="G14" s="133">
        <v>1518</v>
      </c>
      <c r="H14" t="s">
        <v>26</v>
      </c>
      <c r="I14" t="s">
        <v>99</v>
      </c>
      <c r="J14" t="s">
        <v>24</v>
      </c>
      <c r="K14" t="s">
        <v>10</v>
      </c>
    </row>
    <row r="15" spans="1:15">
      <c r="A15" s="123">
        <v>252609</v>
      </c>
      <c r="B15" s="162">
        <v>45782</v>
      </c>
      <c r="C15" s="1" t="s">
        <v>101</v>
      </c>
      <c r="D15" s="128">
        <v>1</v>
      </c>
      <c r="E15" s="115" t="s">
        <v>102</v>
      </c>
      <c r="F15" s="132">
        <v>5890</v>
      </c>
      <c r="G15" s="133">
        <v>5890</v>
      </c>
      <c r="H15" t="s">
        <v>26</v>
      </c>
      <c r="J15" t="s">
        <v>24</v>
      </c>
      <c r="K15" t="s">
        <v>10</v>
      </c>
    </row>
    <row r="16" spans="1:15">
      <c r="A16" s="123">
        <v>252609</v>
      </c>
      <c r="B16" s="162">
        <v>45782</v>
      </c>
      <c r="C16" s="1" t="s">
        <v>101</v>
      </c>
      <c r="D16" s="128">
        <v>1</v>
      </c>
      <c r="E16" s="115" t="s">
        <v>103</v>
      </c>
      <c r="F16" s="132">
        <v>1639</v>
      </c>
      <c r="G16" s="133">
        <v>1639</v>
      </c>
      <c r="H16" t="s">
        <v>26</v>
      </c>
      <c r="J16" t="s">
        <v>24</v>
      </c>
      <c r="K16" t="s">
        <v>10</v>
      </c>
    </row>
    <row r="17" spans="1:11">
      <c r="A17" s="123">
        <v>252609</v>
      </c>
      <c r="B17" s="162">
        <v>45782</v>
      </c>
      <c r="C17" s="1" t="s">
        <v>101</v>
      </c>
      <c r="D17" s="128">
        <v>10</v>
      </c>
      <c r="E17" s="115" t="s">
        <v>104</v>
      </c>
      <c r="F17" s="132">
        <v>37</v>
      </c>
      <c r="G17" s="133">
        <v>370</v>
      </c>
      <c r="H17" t="s">
        <v>26</v>
      </c>
      <c r="J17" t="s">
        <v>24</v>
      </c>
      <c r="K17" t="s">
        <v>10</v>
      </c>
    </row>
    <row r="18" spans="1:11">
      <c r="A18" s="123">
        <v>252609</v>
      </c>
      <c r="B18" s="162">
        <v>45782</v>
      </c>
      <c r="C18" s="1" t="s">
        <v>101</v>
      </c>
      <c r="D18" s="128">
        <v>1</v>
      </c>
      <c r="E18" s="115" t="s">
        <v>105</v>
      </c>
      <c r="F18" s="132">
        <v>63</v>
      </c>
      <c r="G18" s="133">
        <v>63</v>
      </c>
      <c r="H18" t="s">
        <v>26</v>
      </c>
      <c r="J18" t="s">
        <v>24</v>
      </c>
      <c r="K18" t="s">
        <v>10</v>
      </c>
    </row>
    <row r="19" spans="1:11">
      <c r="A19" s="123">
        <v>252609</v>
      </c>
      <c r="B19" s="162">
        <v>45782</v>
      </c>
      <c r="C19" s="1" t="s">
        <v>101</v>
      </c>
      <c r="D19" s="128">
        <v>1</v>
      </c>
      <c r="E19" s="115" t="s">
        <v>106</v>
      </c>
      <c r="F19" s="132">
        <v>500</v>
      </c>
      <c r="G19" s="133">
        <v>500</v>
      </c>
      <c r="H19" t="s">
        <v>26</v>
      </c>
      <c r="J19" t="s">
        <v>24</v>
      </c>
      <c r="K19" t="s">
        <v>10</v>
      </c>
    </row>
    <row r="20" spans="1:11">
      <c r="A20" s="123">
        <v>252610</v>
      </c>
      <c r="B20" s="162">
        <v>45783</v>
      </c>
      <c r="C20" s="1" t="s">
        <v>101</v>
      </c>
      <c r="D20" s="128">
        <v>6</v>
      </c>
      <c r="E20" s="115" t="s">
        <v>107</v>
      </c>
      <c r="F20" s="132">
        <v>150</v>
      </c>
      <c r="G20" s="133">
        <v>900</v>
      </c>
      <c r="H20" t="s">
        <v>31</v>
      </c>
      <c r="J20" t="s">
        <v>24</v>
      </c>
      <c r="K20" t="s">
        <v>10</v>
      </c>
    </row>
    <row r="21" spans="1:11">
      <c r="A21" s="123">
        <v>252610</v>
      </c>
      <c r="B21" s="162">
        <v>45783</v>
      </c>
      <c r="C21" s="1" t="s">
        <v>101</v>
      </c>
      <c r="D21" s="128">
        <v>1</v>
      </c>
      <c r="E21" s="115" t="s">
        <v>108</v>
      </c>
      <c r="F21" s="132">
        <v>200</v>
      </c>
      <c r="G21" s="133">
        <v>200</v>
      </c>
      <c r="H21" t="s">
        <v>31</v>
      </c>
      <c r="J21" t="s">
        <v>24</v>
      </c>
      <c r="K21" t="s">
        <v>10</v>
      </c>
    </row>
    <row r="22" spans="1:11">
      <c r="A22" s="123">
        <v>252611</v>
      </c>
      <c r="B22" s="162">
        <v>45785</v>
      </c>
      <c r="C22" s="1" t="s">
        <v>109</v>
      </c>
      <c r="D22" s="128">
        <v>1</v>
      </c>
      <c r="E22" s="115" t="s">
        <v>110</v>
      </c>
      <c r="F22" s="132">
        <v>457</v>
      </c>
      <c r="G22" s="133">
        <v>457</v>
      </c>
      <c r="H22" t="s">
        <v>26</v>
      </c>
      <c r="J22" t="s">
        <v>24</v>
      </c>
      <c r="K22" t="s">
        <v>10</v>
      </c>
    </row>
    <row r="23" spans="1:11">
      <c r="A23" s="123">
        <v>252611</v>
      </c>
      <c r="B23" s="162">
        <v>45785</v>
      </c>
      <c r="C23" s="1" t="s">
        <v>109</v>
      </c>
      <c r="D23" s="128">
        <v>4</v>
      </c>
      <c r="E23" s="115" t="s">
        <v>111</v>
      </c>
      <c r="F23" s="132">
        <v>25</v>
      </c>
      <c r="G23" s="133">
        <v>100</v>
      </c>
      <c r="H23" t="s">
        <v>26</v>
      </c>
      <c r="J23" t="s">
        <v>24</v>
      </c>
      <c r="K23" t="s">
        <v>10</v>
      </c>
    </row>
    <row r="24" spans="1:11">
      <c r="A24" s="123">
        <v>252611</v>
      </c>
      <c r="B24" s="162">
        <v>45785</v>
      </c>
      <c r="C24" s="1" t="s">
        <v>109</v>
      </c>
      <c r="D24" s="128">
        <v>3.5</v>
      </c>
      <c r="E24" s="115" t="s">
        <v>112</v>
      </c>
      <c r="F24" s="132">
        <v>34</v>
      </c>
      <c r="G24" s="133">
        <v>119</v>
      </c>
      <c r="H24" t="s">
        <v>26</v>
      </c>
      <c r="J24" t="s">
        <v>24</v>
      </c>
      <c r="K24" t="s">
        <v>10</v>
      </c>
    </row>
    <row r="25" spans="1:11">
      <c r="A25" s="123">
        <v>252611</v>
      </c>
      <c r="B25" s="162">
        <v>45785</v>
      </c>
      <c r="C25" s="1" t="s">
        <v>109</v>
      </c>
      <c r="D25" s="128">
        <v>1</v>
      </c>
      <c r="E25" s="115" t="s">
        <v>113</v>
      </c>
      <c r="F25" s="132">
        <v>700</v>
      </c>
      <c r="G25" s="133">
        <v>700</v>
      </c>
      <c r="H25" t="s">
        <v>26</v>
      </c>
      <c r="J25" t="s">
        <v>24</v>
      </c>
      <c r="K25" t="s">
        <v>10</v>
      </c>
    </row>
    <row r="26" spans="1:11">
      <c r="A26" s="123">
        <v>252612</v>
      </c>
      <c r="B26" s="162">
        <v>45791</v>
      </c>
      <c r="C26" s="1" t="s">
        <v>114</v>
      </c>
      <c r="D26" s="128">
        <v>2</v>
      </c>
      <c r="E26" s="115" t="s">
        <v>115</v>
      </c>
      <c r="F26" s="132">
        <v>2415</v>
      </c>
      <c r="G26" s="133">
        <v>4830</v>
      </c>
      <c r="H26" t="s">
        <v>116</v>
      </c>
      <c r="I26" t="s">
        <v>117</v>
      </c>
      <c r="J26" t="s">
        <v>24</v>
      </c>
      <c r="K26" t="s">
        <v>10</v>
      </c>
    </row>
    <row r="27" spans="1:11">
      <c r="A27" s="123">
        <v>252612</v>
      </c>
      <c r="B27" s="162">
        <v>45791</v>
      </c>
      <c r="C27" s="1" t="s">
        <v>114</v>
      </c>
      <c r="D27" s="128">
        <v>2</v>
      </c>
      <c r="E27" s="115" t="s">
        <v>118</v>
      </c>
      <c r="F27" s="132">
        <v>297</v>
      </c>
      <c r="G27" s="133">
        <v>594</v>
      </c>
      <c r="H27" t="s">
        <v>116</v>
      </c>
      <c r="I27" t="s">
        <v>117</v>
      </c>
      <c r="J27" t="s">
        <v>24</v>
      </c>
      <c r="K27" t="s">
        <v>10</v>
      </c>
    </row>
    <row r="28" spans="1:11">
      <c r="A28" s="123">
        <v>252612</v>
      </c>
      <c r="B28" s="162">
        <v>45791</v>
      </c>
      <c r="C28" s="1" t="s">
        <v>114</v>
      </c>
      <c r="D28" s="128">
        <v>1</v>
      </c>
      <c r="E28" s="115" t="s">
        <v>119</v>
      </c>
      <c r="F28" s="132">
        <v>339</v>
      </c>
      <c r="G28" s="133">
        <v>339</v>
      </c>
      <c r="H28" t="s">
        <v>116</v>
      </c>
      <c r="I28" t="s">
        <v>117</v>
      </c>
      <c r="J28" t="s">
        <v>24</v>
      </c>
      <c r="K28" t="s">
        <v>10</v>
      </c>
    </row>
    <row r="29" spans="1:11">
      <c r="A29" s="123">
        <v>252612</v>
      </c>
      <c r="B29" s="162">
        <v>45791</v>
      </c>
      <c r="C29" s="1" t="s">
        <v>114</v>
      </c>
      <c r="D29" s="128">
        <v>2</v>
      </c>
      <c r="E29" s="115" t="s">
        <v>120</v>
      </c>
      <c r="F29" s="132">
        <v>1016.95</v>
      </c>
      <c r="G29" s="133">
        <v>2033.9</v>
      </c>
      <c r="H29" t="s">
        <v>116</v>
      </c>
      <c r="I29" t="s">
        <v>117</v>
      </c>
      <c r="J29" t="s">
        <v>24</v>
      </c>
      <c r="K29" t="s">
        <v>10</v>
      </c>
    </row>
    <row r="30" spans="1:11">
      <c r="A30" s="123">
        <v>252613</v>
      </c>
      <c r="B30" s="162">
        <v>45793</v>
      </c>
      <c r="C30" s="1" t="s">
        <v>97</v>
      </c>
      <c r="D30" s="128">
        <v>1</v>
      </c>
      <c r="E30" s="115" t="s">
        <v>121</v>
      </c>
      <c r="F30" s="132">
        <v>310</v>
      </c>
      <c r="G30" s="181">
        <v>310</v>
      </c>
      <c r="H30" t="s">
        <v>26</v>
      </c>
      <c r="I30" t="s">
        <v>99</v>
      </c>
      <c r="J30" t="s">
        <v>24</v>
      </c>
      <c r="K30" t="s">
        <v>10</v>
      </c>
    </row>
    <row r="31" spans="1:11">
      <c r="A31" s="123">
        <v>252614</v>
      </c>
      <c r="B31" s="162">
        <v>45793</v>
      </c>
      <c r="C31" s="1" t="s">
        <v>122</v>
      </c>
      <c r="D31" s="128">
        <v>2</v>
      </c>
      <c r="E31" s="115" t="s">
        <v>123</v>
      </c>
      <c r="F31" s="132">
        <v>1188.44</v>
      </c>
      <c r="G31" s="133">
        <v>2376.88</v>
      </c>
      <c r="H31" t="s">
        <v>26</v>
      </c>
      <c r="I31" t="s">
        <v>124</v>
      </c>
      <c r="J31" t="s">
        <v>24</v>
      </c>
      <c r="K31" t="s">
        <v>10</v>
      </c>
    </row>
    <row r="32" spans="1:11">
      <c r="A32" s="123">
        <v>252615</v>
      </c>
      <c r="B32" s="162">
        <v>45793</v>
      </c>
      <c r="C32" s="1" t="s">
        <v>114</v>
      </c>
      <c r="D32" s="128">
        <v>3</v>
      </c>
      <c r="E32" s="115" t="s">
        <v>125</v>
      </c>
      <c r="F32" s="132">
        <v>300</v>
      </c>
      <c r="G32" s="133">
        <v>900</v>
      </c>
      <c r="H32" t="s">
        <v>116</v>
      </c>
      <c r="I32" t="s">
        <v>117</v>
      </c>
      <c r="J32" t="s">
        <v>24</v>
      </c>
      <c r="K32" t="s">
        <v>10</v>
      </c>
    </row>
    <row r="33" spans="1:11">
      <c r="A33" s="123">
        <v>252616</v>
      </c>
      <c r="B33" s="162">
        <v>45793</v>
      </c>
      <c r="C33" s="1" t="s">
        <v>114</v>
      </c>
      <c r="D33" s="128">
        <v>2</v>
      </c>
      <c r="E33" s="115" t="s">
        <v>126</v>
      </c>
      <c r="F33" s="132">
        <v>350</v>
      </c>
      <c r="G33" s="181">
        <v>700</v>
      </c>
      <c r="H33" t="s">
        <v>116</v>
      </c>
      <c r="I33" t="s">
        <v>117</v>
      </c>
      <c r="J33" t="s">
        <v>24</v>
      </c>
      <c r="K33" t="s">
        <v>10</v>
      </c>
    </row>
    <row r="34" spans="1:11">
      <c r="A34" s="123">
        <v>252617</v>
      </c>
      <c r="B34" s="162">
        <v>45797</v>
      </c>
      <c r="C34" s="1" t="s">
        <v>127</v>
      </c>
      <c r="D34" s="128">
        <v>1</v>
      </c>
      <c r="E34" s="115" t="s">
        <v>128</v>
      </c>
      <c r="F34" s="132">
        <v>1150</v>
      </c>
      <c r="G34" s="181">
        <v>1150</v>
      </c>
      <c r="H34" t="s">
        <v>26</v>
      </c>
      <c r="J34" t="s">
        <v>24</v>
      </c>
      <c r="K34" t="s">
        <v>10</v>
      </c>
    </row>
    <row r="35" spans="1:11">
      <c r="A35" s="123">
        <v>252618</v>
      </c>
      <c r="B35" s="162">
        <v>45799</v>
      </c>
      <c r="C35" s="1" t="s">
        <v>89</v>
      </c>
      <c r="D35" s="128">
        <v>1</v>
      </c>
      <c r="E35" s="115" t="s">
        <v>129</v>
      </c>
      <c r="F35" s="132">
        <v>26640</v>
      </c>
      <c r="G35" s="133">
        <v>26640</v>
      </c>
      <c r="H35" t="s">
        <v>31</v>
      </c>
      <c r="J35" t="s">
        <v>24</v>
      </c>
      <c r="K35" t="s">
        <v>10</v>
      </c>
    </row>
    <row r="36" spans="1:11">
      <c r="A36" s="123">
        <v>252618</v>
      </c>
      <c r="B36" s="162">
        <v>45799</v>
      </c>
      <c r="C36" s="1" t="s">
        <v>89</v>
      </c>
      <c r="D36" s="128">
        <v>1</v>
      </c>
      <c r="E36" s="115" t="s">
        <v>130</v>
      </c>
      <c r="F36" s="132">
        <v>3200</v>
      </c>
      <c r="G36" s="133">
        <v>3200</v>
      </c>
      <c r="H36" t="s">
        <v>31</v>
      </c>
      <c r="J36" t="s">
        <v>24</v>
      </c>
      <c r="K36" t="s">
        <v>10</v>
      </c>
    </row>
    <row r="37" spans="1:11">
      <c r="A37" s="123">
        <v>252618</v>
      </c>
      <c r="B37" s="162">
        <v>45799</v>
      </c>
      <c r="C37" s="1" t="s">
        <v>89</v>
      </c>
      <c r="D37" s="128">
        <v>1</v>
      </c>
      <c r="E37" s="115" t="s">
        <v>131</v>
      </c>
      <c r="F37" s="132">
        <v>99</v>
      </c>
      <c r="G37" s="133">
        <v>99</v>
      </c>
      <c r="H37" t="s">
        <v>31</v>
      </c>
      <c r="J37" t="s">
        <v>24</v>
      </c>
      <c r="K37" t="s">
        <v>10</v>
      </c>
    </row>
    <row r="38" spans="1:11">
      <c r="A38" s="123">
        <v>252618</v>
      </c>
      <c r="B38" s="162">
        <v>45799</v>
      </c>
      <c r="C38" s="1" t="s">
        <v>89</v>
      </c>
      <c r="D38" s="128">
        <v>1</v>
      </c>
      <c r="E38" s="115" t="s">
        <v>132</v>
      </c>
      <c r="F38" s="132">
        <v>1160</v>
      </c>
      <c r="G38" s="133">
        <v>1160</v>
      </c>
      <c r="H38" t="s">
        <v>31</v>
      </c>
      <c r="J38" t="s">
        <v>24</v>
      </c>
      <c r="K38" t="s">
        <v>10</v>
      </c>
    </row>
    <row r="39" spans="1:11">
      <c r="A39" s="123">
        <v>252618</v>
      </c>
      <c r="B39" s="162">
        <v>45799</v>
      </c>
      <c r="C39" s="1" t="s">
        <v>89</v>
      </c>
      <c r="D39" s="128">
        <v>1</v>
      </c>
      <c r="E39" s="115" t="s">
        <v>133</v>
      </c>
      <c r="F39" s="132">
        <v>3533</v>
      </c>
      <c r="G39" s="133">
        <v>3533</v>
      </c>
      <c r="H39" t="s">
        <v>31</v>
      </c>
      <c r="J39" t="s">
        <v>24</v>
      </c>
      <c r="K39" t="s">
        <v>10</v>
      </c>
    </row>
    <row r="40" spans="1:11">
      <c r="A40" s="123">
        <v>252618</v>
      </c>
      <c r="B40" s="162">
        <v>45799</v>
      </c>
      <c r="C40" s="1" t="s">
        <v>89</v>
      </c>
      <c r="D40" s="128">
        <v>1</v>
      </c>
      <c r="E40" s="115" t="s">
        <v>134</v>
      </c>
      <c r="F40" s="132">
        <v>368</v>
      </c>
      <c r="G40" s="133">
        <v>368</v>
      </c>
      <c r="H40" t="s">
        <v>31</v>
      </c>
      <c r="J40" t="s">
        <v>24</v>
      </c>
      <c r="K40" t="s">
        <v>10</v>
      </c>
    </row>
    <row r="41" spans="1:11">
      <c r="A41" s="123">
        <v>252619</v>
      </c>
      <c r="B41" s="162">
        <v>45802</v>
      </c>
      <c r="C41" s="1" t="s">
        <v>135</v>
      </c>
      <c r="D41" s="128">
        <v>1</v>
      </c>
      <c r="E41" s="115" t="s">
        <v>136</v>
      </c>
      <c r="F41" s="132">
        <v>50362</v>
      </c>
      <c r="G41" s="181">
        <v>50362</v>
      </c>
      <c r="H41" t="s">
        <v>31</v>
      </c>
      <c r="J41" t="s">
        <v>24</v>
      </c>
      <c r="K41" t="s">
        <v>10</v>
      </c>
    </row>
    <row r="42" spans="1:11">
      <c r="A42" s="123">
        <v>252620</v>
      </c>
      <c r="B42" s="162">
        <v>45805</v>
      </c>
      <c r="C42" s="1" t="s">
        <v>137</v>
      </c>
      <c r="D42" s="128">
        <v>1</v>
      </c>
      <c r="E42" s="115" t="s">
        <v>138</v>
      </c>
      <c r="F42" s="132">
        <v>354</v>
      </c>
      <c r="G42" s="181">
        <v>354</v>
      </c>
      <c r="H42" t="s">
        <v>31</v>
      </c>
      <c r="J42" t="s">
        <v>24</v>
      </c>
      <c r="K42" t="s">
        <v>10</v>
      </c>
    </row>
    <row r="43" spans="1:11">
      <c r="A43" s="123">
        <v>252621</v>
      </c>
      <c r="B43" s="162">
        <v>45806</v>
      </c>
      <c r="C43" s="1" t="s">
        <v>135</v>
      </c>
      <c r="D43" s="128">
        <v>1</v>
      </c>
      <c r="E43" s="115" t="s">
        <v>139</v>
      </c>
      <c r="F43" s="132">
        <v>3860</v>
      </c>
      <c r="G43" s="181">
        <v>3860</v>
      </c>
      <c r="H43" t="s">
        <v>31</v>
      </c>
      <c r="J43" t="s">
        <v>24</v>
      </c>
      <c r="K43" t="s">
        <v>10</v>
      </c>
    </row>
    <row r="44" spans="1:11">
      <c r="A44" s="123">
        <v>252621</v>
      </c>
      <c r="B44" s="162">
        <v>45806</v>
      </c>
      <c r="C44" s="1" t="s">
        <v>135</v>
      </c>
      <c r="D44" s="128">
        <v>1</v>
      </c>
      <c r="E44" s="115" t="s">
        <v>140</v>
      </c>
      <c r="F44" s="132">
        <v>65</v>
      </c>
      <c r="G44" s="181">
        <v>65</v>
      </c>
      <c r="H44" t="s">
        <v>31</v>
      </c>
      <c r="J44" t="s">
        <v>24</v>
      </c>
      <c r="K44" t="s">
        <v>10</v>
      </c>
    </row>
    <row r="45" spans="1:11">
      <c r="A45" s="123">
        <v>252622</v>
      </c>
      <c r="B45" s="162">
        <v>45818</v>
      </c>
      <c r="C45" s="1" t="s">
        <v>141</v>
      </c>
      <c r="D45" s="128">
        <v>1</v>
      </c>
      <c r="E45" s="115" t="s">
        <v>138</v>
      </c>
      <c r="F45" s="132">
        <v>354</v>
      </c>
      <c r="G45" s="181">
        <v>354</v>
      </c>
      <c r="H45" t="s">
        <v>31</v>
      </c>
      <c r="I45" t="s">
        <v>99</v>
      </c>
      <c r="J45" t="s">
        <v>24</v>
      </c>
      <c r="K45" t="s">
        <v>10</v>
      </c>
    </row>
    <row r="46" spans="1:11">
      <c r="A46" s="123">
        <v>252623</v>
      </c>
      <c r="B46" s="162">
        <v>45818</v>
      </c>
      <c r="C46" s="1" t="s">
        <v>91</v>
      </c>
      <c r="D46" s="128">
        <v>1</v>
      </c>
      <c r="E46" s="115" t="s">
        <v>142</v>
      </c>
      <c r="F46" s="132">
        <v>354</v>
      </c>
      <c r="G46" s="133">
        <v>354</v>
      </c>
      <c r="H46" t="s">
        <v>31</v>
      </c>
      <c r="J46" t="s">
        <v>24</v>
      </c>
      <c r="K46" t="s">
        <v>10</v>
      </c>
    </row>
    <row r="47" spans="1:11">
      <c r="A47" s="123">
        <v>252624</v>
      </c>
      <c r="B47" s="162">
        <v>45821</v>
      </c>
      <c r="C47" s="1" t="s">
        <v>82</v>
      </c>
      <c r="D47" s="128">
        <v>1</v>
      </c>
      <c r="E47" s="115" t="s">
        <v>143</v>
      </c>
      <c r="F47" s="132">
        <v>354</v>
      </c>
      <c r="G47" s="181">
        <v>354</v>
      </c>
      <c r="H47" t="s">
        <v>31</v>
      </c>
      <c r="J47" t="s">
        <v>24</v>
      </c>
      <c r="K47" t="s">
        <v>10</v>
      </c>
    </row>
    <row r="48" spans="1:11">
      <c r="A48" s="123">
        <v>252625</v>
      </c>
      <c r="B48" s="162">
        <v>45822</v>
      </c>
      <c r="C48" s="1" t="s">
        <v>144</v>
      </c>
      <c r="D48" s="128">
        <v>1</v>
      </c>
      <c r="E48" s="115" t="s">
        <v>145</v>
      </c>
      <c r="F48" s="132">
        <v>1400</v>
      </c>
      <c r="G48" s="181">
        <v>1400</v>
      </c>
      <c r="H48" t="s">
        <v>31</v>
      </c>
      <c r="I48">
        <v>0</v>
      </c>
      <c r="J48" t="s">
        <v>24</v>
      </c>
      <c r="K48" t="s">
        <v>10</v>
      </c>
    </row>
    <row r="49" spans="1:11">
      <c r="A49" s="123">
        <v>252626</v>
      </c>
      <c r="B49" s="162">
        <v>45825</v>
      </c>
      <c r="C49" s="1" t="s">
        <v>89</v>
      </c>
      <c r="D49" s="128">
        <v>1</v>
      </c>
      <c r="E49" s="115" t="s">
        <v>146</v>
      </c>
      <c r="F49" s="132">
        <v>354</v>
      </c>
      <c r="G49" s="181">
        <v>354</v>
      </c>
      <c r="H49" t="s">
        <v>31</v>
      </c>
      <c r="J49" t="s">
        <v>24</v>
      </c>
      <c r="K49" t="s">
        <v>10</v>
      </c>
    </row>
    <row r="50" spans="1:11">
      <c r="A50" s="123">
        <v>252627</v>
      </c>
      <c r="B50" s="162">
        <v>45828</v>
      </c>
      <c r="C50" s="1" t="s">
        <v>101</v>
      </c>
      <c r="D50" s="128">
        <v>1</v>
      </c>
      <c r="E50" s="115" t="s">
        <v>147</v>
      </c>
      <c r="F50" s="132">
        <v>485</v>
      </c>
      <c r="G50" s="133">
        <v>485</v>
      </c>
      <c r="H50" t="s">
        <v>26</v>
      </c>
      <c r="J50" t="s">
        <v>24</v>
      </c>
      <c r="K50" t="s">
        <v>10</v>
      </c>
    </row>
    <row r="51" spans="1:11">
      <c r="A51" s="123">
        <v>252627</v>
      </c>
      <c r="B51" s="162">
        <v>45828</v>
      </c>
      <c r="C51" s="1" t="s">
        <v>101</v>
      </c>
      <c r="D51" s="128">
        <v>1</v>
      </c>
      <c r="E51" s="115" t="s">
        <v>148</v>
      </c>
      <c r="F51" s="132">
        <v>315</v>
      </c>
      <c r="G51" s="133">
        <v>315</v>
      </c>
      <c r="H51" t="s">
        <v>26</v>
      </c>
      <c r="J51" t="s">
        <v>24</v>
      </c>
      <c r="K51" t="s">
        <v>10</v>
      </c>
    </row>
    <row r="52" spans="1:11">
      <c r="A52" s="123">
        <v>252627</v>
      </c>
      <c r="B52" s="162">
        <v>45828</v>
      </c>
      <c r="C52" s="1" t="s">
        <v>101</v>
      </c>
      <c r="D52" s="128">
        <v>1</v>
      </c>
      <c r="E52" s="115" t="s">
        <v>149</v>
      </c>
      <c r="F52" s="132">
        <v>250</v>
      </c>
      <c r="G52" s="133">
        <v>250</v>
      </c>
      <c r="H52" t="s">
        <v>26</v>
      </c>
      <c r="J52" t="s">
        <v>24</v>
      </c>
      <c r="K52" t="s">
        <v>10</v>
      </c>
    </row>
    <row r="53" spans="1:11">
      <c r="A53" s="123">
        <v>252627</v>
      </c>
      <c r="B53" s="162">
        <v>45828</v>
      </c>
      <c r="C53" s="1" t="s">
        <v>101</v>
      </c>
      <c r="D53" s="128">
        <v>1</v>
      </c>
      <c r="E53" s="115" t="s">
        <v>150</v>
      </c>
      <c r="F53" s="132">
        <v>230</v>
      </c>
      <c r="G53" s="133">
        <v>230</v>
      </c>
      <c r="H53" t="s">
        <v>26</v>
      </c>
      <c r="J53" t="s">
        <v>24</v>
      </c>
      <c r="K53" t="s">
        <v>10</v>
      </c>
    </row>
    <row r="54" spans="1:11">
      <c r="A54" s="123">
        <v>252627</v>
      </c>
      <c r="B54" s="162">
        <v>45828</v>
      </c>
      <c r="C54" s="1" t="s">
        <v>101</v>
      </c>
      <c r="D54" s="128">
        <v>1</v>
      </c>
      <c r="E54" s="115" t="s">
        <v>151</v>
      </c>
      <c r="F54" s="132">
        <v>360</v>
      </c>
      <c r="G54" s="133">
        <v>360</v>
      </c>
      <c r="H54" t="s">
        <v>26</v>
      </c>
      <c r="J54" t="s">
        <v>24</v>
      </c>
      <c r="K54" t="s">
        <v>10</v>
      </c>
    </row>
    <row r="55" spans="1:11">
      <c r="A55" s="123">
        <v>252628</v>
      </c>
      <c r="B55" s="162">
        <v>45833</v>
      </c>
      <c r="C55" s="1" t="s">
        <v>114</v>
      </c>
      <c r="D55" s="128">
        <v>3</v>
      </c>
      <c r="E55" s="115" t="s">
        <v>152</v>
      </c>
      <c r="F55" s="132">
        <v>400</v>
      </c>
      <c r="G55" s="133">
        <v>1200</v>
      </c>
      <c r="H55" t="s">
        <v>116</v>
      </c>
      <c r="I55" t="s">
        <v>117</v>
      </c>
      <c r="J55" t="s">
        <v>24</v>
      </c>
      <c r="K55" t="s">
        <v>10</v>
      </c>
    </row>
    <row r="56" spans="1:11">
      <c r="A56" s="123">
        <v>252629</v>
      </c>
      <c r="B56" s="162">
        <v>45843</v>
      </c>
      <c r="C56" s="1" t="s">
        <v>153</v>
      </c>
      <c r="D56" s="128">
        <v>1</v>
      </c>
      <c r="E56" s="115" t="s">
        <v>154</v>
      </c>
      <c r="F56" s="132">
        <v>4860</v>
      </c>
      <c r="G56" s="181">
        <v>4860</v>
      </c>
      <c r="H56" t="s">
        <v>26</v>
      </c>
      <c r="I56" t="s">
        <v>155</v>
      </c>
      <c r="J56" t="s">
        <v>24</v>
      </c>
      <c r="K56" t="s">
        <v>10</v>
      </c>
    </row>
    <row r="57" spans="1:11">
      <c r="A57" s="123">
        <v>252629</v>
      </c>
      <c r="B57" s="162">
        <v>45843</v>
      </c>
      <c r="C57" s="1" t="s">
        <v>153</v>
      </c>
      <c r="D57" s="128">
        <v>2</v>
      </c>
      <c r="E57" s="115" t="s">
        <v>156</v>
      </c>
      <c r="F57" s="132">
        <v>2955</v>
      </c>
      <c r="G57" s="181">
        <v>5910</v>
      </c>
      <c r="H57" t="s">
        <v>26</v>
      </c>
      <c r="I57" t="s">
        <v>155</v>
      </c>
      <c r="J57" t="s">
        <v>24</v>
      </c>
      <c r="K57" t="s">
        <v>10</v>
      </c>
    </row>
    <row r="58" spans="1:11">
      <c r="A58" s="123">
        <v>252629</v>
      </c>
      <c r="B58" s="162">
        <v>45843</v>
      </c>
      <c r="C58" s="1" t="s">
        <v>153</v>
      </c>
      <c r="D58" s="128">
        <v>73</v>
      </c>
      <c r="E58" s="115" t="s">
        <v>157</v>
      </c>
      <c r="F58" s="132">
        <v>35</v>
      </c>
      <c r="G58" s="181">
        <v>2555</v>
      </c>
      <c r="H58" t="s">
        <v>26</v>
      </c>
      <c r="I58" t="s">
        <v>155</v>
      </c>
      <c r="J58" t="s">
        <v>24</v>
      </c>
      <c r="K58" t="s">
        <v>10</v>
      </c>
    </row>
    <row r="59" spans="1:11">
      <c r="A59" s="123">
        <v>252629</v>
      </c>
      <c r="B59" s="162">
        <v>45843</v>
      </c>
      <c r="C59" s="1" t="s">
        <v>153</v>
      </c>
      <c r="D59" s="128">
        <v>2</v>
      </c>
      <c r="E59" s="115" t="s">
        <v>158</v>
      </c>
      <c r="F59" s="132">
        <v>63</v>
      </c>
      <c r="G59" s="181">
        <v>126</v>
      </c>
      <c r="H59" t="s">
        <v>26</v>
      </c>
      <c r="I59" t="s">
        <v>155</v>
      </c>
      <c r="J59" t="s">
        <v>24</v>
      </c>
      <c r="K59" t="s">
        <v>10</v>
      </c>
    </row>
    <row r="60" spans="1:11">
      <c r="A60" s="123">
        <v>252629</v>
      </c>
      <c r="B60" s="162">
        <v>45843</v>
      </c>
      <c r="C60" s="1" t="s">
        <v>153</v>
      </c>
      <c r="D60" s="128">
        <v>1</v>
      </c>
      <c r="E60" s="115" t="s">
        <v>159</v>
      </c>
      <c r="F60" s="132">
        <v>1266</v>
      </c>
      <c r="G60" s="181">
        <v>1266</v>
      </c>
      <c r="H60" t="s">
        <v>26</v>
      </c>
      <c r="I60" t="s">
        <v>155</v>
      </c>
      <c r="J60" t="s">
        <v>24</v>
      </c>
      <c r="K60" t="s">
        <v>10</v>
      </c>
    </row>
    <row r="61" spans="1:11">
      <c r="A61" s="123">
        <v>252629</v>
      </c>
      <c r="B61" s="162">
        <v>45843</v>
      </c>
      <c r="C61" s="1" t="s">
        <v>153</v>
      </c>
      <c r="D61" s="128">
        <v>3</v>
      </c>
      <c r="E61" s="115" t="s">
        <v>160</v>
      </c>
      <c r="F61" s="132">
        <v>300</v>
      </c>
      <c r="G61" s="181">
        <v>900</v>
      </c>
      <c r="H61" t="s">
        <v>26</v>
      </c>
      <c r="I61" t="s">
        <v>155</v>
      </c>
      <c r="J61" t="s">
        <v>24</v>
      </c>
      <c r="K61" t="s">
        <v>10</v>
      </c>
    </row>
    <row r="62" spans="1:11">
      <c r="A62" s="123">
        <v>252629</v>
      </c>
      <c r="B62" s="162">
        <v>45843</v>
      </c>
      <c r="C62" s="1" t="s">
        <v>153</v>
      </c>
      <c r="D62" s="128">
        <v>6</v>
      </c>
      <c r="E62" s="115" t="s">
        <v>161</v>
      </c>
      <c r="F62" s="132">
        <v>28</v>
      </c>
      <c r="G62" s="181">
        <v>168</v>
      </c>
      <c r="H62" t="s">
        <v>26</v>
      </c>
      <c r="I62" t="s">
        <v>155</v>
      </c>
      <c r="J62" t="s">
        <v>24</v>
      </c>
      <c r="K62" t="s">
        <v>10</v>
      </c>
    </row>
    <row r="63" spans="1:11">
      <c r="A63" s="123">
        <v>252629</v>
      </c>
      <c r="B63" s="162">
        <v>45843</v>
      </c>
      <c r="C63" s="1" t="s">
        <v>153</v>
      </c>
      <c r="D63" s="128">
        <v>1</v>
      </c>
      <c r="E63" s="115" t="s">
        <v>162</v>
      </c>
      <c r="F63" s="132">
        <v>1161.02</v>
      </c>
      <c r="G63" s="181">
        <v>1161.02</v>
      </c>
      <c r="H63" t="s">
        <v>26</v>
      </c>
      <c r="I63" t="s">
        <v>155</v>
      </c>
      <c r="J63" t="s">
        <v>24</v>
      </c>
      <c r="K63" t="s">
        <v>10</v>
      </c>
    </row>
    <row r="64" spans="1:11">
      <c r="A64" s="123">
        <v>252629</v>
      </c>
      <c r="B64" s="162">
        <v>45843</v>
      </c>
      <c r="C64" s="1" t="s">
        <v>153</v>
      </c>
      <c r="D64" s="128">
        <v>1</v>
      </c>
      <c r="E64" s="115" t="s">
        <v>163</v>
      </c>
      <c r="F64" s="132">
        <v>320</v>
      </c>
      <c r="G64" s="181">
        <v>320</v>
      </c>
      <c r="H64" t="s">
        <v>26</v>
      </c>
      <c r="I64" t="s">
        <v>155</v>
      </c>
      <c r="J64" t="s">
        <v>24</v>
      </c>
      <c r="K64" t="s">
        <v>10</v>
      </c>
    </row>
    <row r="65" spans="1:11">
      <c r="A65" s="123">
        <v>252629</v>
      </c>
      <c r="B65" s="162">
        <v>45843</v>
      </c>
      <c r="C65" s="1" t="s">
        <v>153</v>
      </c>
      <c r="D65" s="128">
        <v>15</v>
      </c>
      <c r="E65" s="115" t="s">
        <v>164</v>
      </c>
      <c r="F65" s="132">
        <v>43</v>
      </c>
      <c r="G65" s="181">
        <v>645</v>
      </c>
      <c r="H65" t="s">
        <v>26</v>
      </c>
      <c r="I65" t="s">
        <v>155</v>
      </c>
      <c r="J65" t="s">
        <v>24</v>
      </c>
      <c r="K65" t="s">
        <v>10</v>
      </c>
    </row>
    <row r="66" spans="1:11">
      <c r="A66" s="123">
        <v>252630</v>
      </c>
      <c r="B66" s="162">
        <v>45845</v>
      </c>
      <c r="C66" s="1" t="s">
        <v>141</v>
      </c>
      <c r="D66" s="128">
        <v>1</v>
      </c>
      <c r="E66" s="115" t="s">
        <v>165</v>
      </c>
      <c r="F66" s="132">
        <v>300</v>
      </c>
      <c r="G66" s="133">
        <v>300</v>
      </c>
      <c r="H66" t="s">
        <v>26</v>
      </c>
      <c r="I66" t="s">
        <v>99</v>
      </c>
      <c r="J66" t="s">
        <v>24</v>
      </c>
      <c r="K66" t="s">
        <v>10</v>
      </c>
    </row>
    <row r="67" spans="1:11">
      <c r="A67" s="123">
        <v>252631</v>
      </c>
      <c r="B67" s="162">
        <v>45846</v>
      </c>
      <c r="C67" s="1" t="s">
        <v>89</v>
      </c>
      <c r="D67" s="128">
        <v>22</v>
      </c>
      <c r="E67" s="115" t="s">
        <v>166</v>
      </c>
      <c r="F67" s="132">
        <v>36.35</v>
      </c>
      <c r="G67" s="181">
        <v>799.7</v>
      </c>
      <c r="H67" t="s">
        <v>31</v>
      </c>
      <c r="J67" t="s">
        <v>24</v>
      </c>
      <c r="K67" t="s">
        <v>10</v>
      </c>
    </row>
    <row r="68" spans="1:11">
      <c r="A68" s="123">
        <v>252632</v>
      </c>
      <c r="B68" s="162">
        <v>45848</v>
      </c>
      <c r="C68" s="1" t="s">
        <v>89</v>
      </c>
      <c r="D68" s="128">
        <v>1</v>
      </c>
      <c r="E68" s="115" t="s">
        <v>167</v>
      </c>
      <c r="F68" s="132">
        <v>1450</v>
      </c>
      <c r="G68" s="133">
        <v>1450</v>
      </c>
      <c r="H68" t="s">
        <v>31</v>
      </c>
      <c r="J68" t="s">
        <v>24</v>
      </c>
      <c r="K68" t="s">
        <v>10</v>
      </c>
    </row>
    <row r="69" spans="1:11">
      <c r="A69" s="123">
        <v>252632</v>
      </c>
      <c r="B69" s="162">
        <v>45848</v>
      </c>
      <c r="C69" s="1" t="s">
        <v>89</v>
      </c>
      <c r="D69" s="128">
        <v>1</v>
      </c>
      <c r="E69" s="115" t="s">
        <v>168</v>
      </c>
      <c r="F69" s="132">
        <v>450</v>
      </c>
      <c r="G69" s="181">
        <v>450</v>
      </c>
      <c r="H69" t="s">
        <v>31</v>
      </c>
      <c r="J69" t="s">
        <v>24</v>
      </c>
      <c r="K69" t="s">
        <v>10</v>
      </c>
    </row>
    <row r="70" spans="1:11">
      <c r="A70" s="123">
        <v>252633</v>
      </c>
      <c r="B70" s="162">
        <v>45848</v>
      </c>
      <c r="C70" s="1" t="s">
        <v>169</v>
      </c>
      <c r="D70" s="128">
        <v>1</v>
      </c>
      <c r="E70" s="115" t="s">
        <v>170</v>
      </c>
      <c r="F70" s="132">
        <v>7680</v>
      </c>
      <c r="G70" s="181">
        <v>7680</v>
      </c>
      <c r="H70" t="s">
        <v>26</v>
      </c>
      <c r="I70" t="s">
        <v>171</v>
      </c>
      <c r="J70" t="s">
        <v>24</v>
      </c>
      <c r="K70" t="s">
        <v>10</v>
      </c>
    </row>
    <row r="71" spans="1:11">
      <c r="A71" s="123">
        <v>252633</v>
      </c>
      <c r="B71" s="162">
        <v>45848</v>
      </c>
      <c r="C71" s="1" t="s">
        <v>169</v>
      </c>
      <c r="D71" s="128">
        <v>1</v>
      </c>
      <c r="E71" s="115" t="s">
        <v>172</v>
      </c>
      <c r="F71" s="132">
        <v>4148</v>
      </c>
      <c r="G71" s="181">
        <v>4148</v>
      </c>
      <c r="H71" t="s">
        <v>26</v>
      </c>
      <c r="I71" t="s">
        <v>171</v>
      </c>
      <c r="J71" t="s">
        <v>24</v>
      </c>
      <c r="K71" t="s">
        <v>10</v>
      </c>
    </row>
    <row r="72" spans="1:11">
      <c r="A72" s="123">
        <v>252633</v>
      </c>
      <c r="B72" s="162">
        <v>45848</v>
      </c>
      <c r="C72" s="1" t="s">
        <v>169</v>
      </c>
      <c r="D72" s="128">
        <v>4</v>
      </c>
      <c r="E72" s="115" t="s">
        <v>173</v>
      </c>
      <c r="F72" s="132">
        <v>4586</v>
      </c>
      <c r="G72" s="133">
        <v>18344</v>
      </c>
      <c r="H72" t="s">
        <v>26</v>
      </c>
      <c r="I72" t="s">
        <v>171</v>
      </c>
      <c r="J72" t="s">
        <v>24</v>
      </c>
      <c r="K72" t="s">
        <v>10</v>
      </c>
    </row>
    <row r="73" spans="1:11">
      <c r="A73" s="123">
        <v>252633</v>
      </c>
      <c r="B73" s="162">
        <v>45848</v>
      </c>
      <c r="C73" s="1" t="s">
        <v>169</v>
      </c>
      <c r="D73" s="128">
        <v>4</v>
      </c>
      <c r="E73" s="115" t="s">
        <v>174</v>
      </c>
      <c r="F73" s="132">
        <v>57</v>
      </c>
      <c r="G73" s="133">
        <v>228</v>
      </c>
      <c r="H73" t="s">
        <v>26</v>
      </c>
      <c r="I73" t="s">
        <v>171</v>
      </c>
      <c r="J73" t="s">
        <v>24</v>
      </c>
      <c r="K73" t="s">
        <v>10</v>
      </c>
    </row>
    <row r="74" spans="1:11">
      <c r="A74" s="123">
        <v>252633</v>
      </c>
      <c r="B74" s="162">
        <v>45848</v>
      </c>
      <c r="C74" s="1" t="s">
        <v>169</v>
      </c>
      <c r="D74" s="128">
        <v>1</v>
      </c>
      <c r="E74" s="115" t="s">
        <v>175</v>
      </c>
      <c r="F74" s="132">
        <v>1686</v>
      </c>
      <c r="G74" s="133">
        <v>1686</v>
      </c>
      <c r="H74" t="s">
        <v>26</v>
      </c>
      <c r="I74" t="s">
        <v>171</v>
      </c>
      <c r="J74" t="s">
        <v>24</v>
      </c>
      <c r="K74" t="s">
        <v>10</v>
      </c>
    </row>
    <row r="75" spans="1:11">
      <c r="A75" s="123">
        <v>252633</v>
      </c>
      <c r="B75" s="162">
        <v>45848</v>
      </c>
      <c r="C75" s="1" t="s">
        <v>169</v>
      </c>
      <c r="D75" s="128">
        <v>52</v>
      </c>
      <c r="E75" s="115" t="s">
        <v>176</v>
      </c>
      <c r="F75" s="132">
        <v>38</v>
      </c>
      <c r="G75" s="133">
        <v>1976</v>
      </c>
      <c r="H75" t="s">
        <v>26</v>
      </c>
      <c r="I75" t="s">
        <v>171</v>
      </c>
      <c r="J75" t="s">
        <v>24</v>
      </c>
      <c r="K75" t="s">
        <v>10</v>
      </c>
    </row>
    <row r="76" spans="1:11">
      <c r="A76" s="123">
        <v>252633</v>
      </c>
      <c r="B76" s="162">
        <v>45848</v>
      </c>
      <c r="C76" s="1" t="s">
        <v>169</v>
      </c>
      <c r="D76" s="128">
        <v>10</v>
      </c>
      <c r="E76" s="115" t="s">
        <v>161</v>
      </c>
      <c r="F76" s="132">
        <v>23</v>
      </c>
      <c r="G76" s="133">
        <v>230</v>
      </c>
      <c r="H76" t="s">
        <v>26</v>
      </c>
      <c r="I76" t="s">
        <v>171</v>
      </c>
      <c r="J76" t="s">
        <v>24</v>
      </c>
      <c r="K76" t="s">
        <v>10</v>
      </c>
    </row>
    <row r="77" spans="1:11">
      <c r="A77" s="123">
        <v>252633</v>
      </c>
      <c r="B77" s="162">
        <v>45848</v>
      </c>
      <c r="C77" s="1" t="s">
        <v>169</v>
      </c>
      <c r="D77" s="128">
        <v>4</v>
      </c>
      <c r="E77" s="115" t="s">
        <v>177</v>
      </c>
      <c r="F77" s="132">
        <v>250</v>
      </c>
      <c r="G77" s="133">
        <v>1000</v>
      </c>
      <c r="H77" t="s">
        <v>26</v>
      </c>
      <c r="I77" t="s">
        <v>171</v>
      </c>
      <c r="J77" t="s">
        <v>24</v>
      </c>
      <c r="K77" t="s">
        <v>10</v>
      </c>
    </row>
    <row r="78" spans="1:11">
      <c r="A78" s="123">
        <v>252633</v>
      </c>
      <c r="B78" s="162">
        <v>45848</v>
      </c>
      <c r="C78" s="1" t="s">
        <v>169</v>
      </c>
      <c r="D78" s="128">
        <v>1</v>
      </c>
      <c r="E78" s="115" t="s">
        <v>178</v>
      </c>
      <c r="F78" s="132">
        <v>270</v>
      </c>
      <c r="G78" s="181">
        <v>270</v>
      </c>
      <c r="H78" t="s">
        <v>26</v>
      </c>
      <c r="I78" t="s">
        <v>171</v>
      </c>
      <c r="J78" t="s">
        <v>24</v>
      </c>
      <c r="K78" t="s">
        <v>10</v>
      </c>
    </row>
    <row r="79" spans="1:11">
      <c r="A79" s="123">
        <v>252633</v>
      </c>
      <c r="B79" s="162">
        <v>45848</v>
      </c>
      <c r="C79" s="1" t="s">
        <v>169</v>
      </c>
      <c r="D79" s="128">
        <v>1</v>
      </c>
      <c r="E79" s="115" t="s">
        <v>179</v>
      </c>
      <c r="F79" s="132">
        <v>580</v>
      </c>
      <c r="G79" s="181">
        <v>580</v>
      </c>
      <c r="H79" t="s">
        <v>26</v>
      </c>
      <c r="I79" t="s">
        <v>171</v>
      </c>
      <c r="J79" t="s">
        <v>24</v>
      </c>
      <c r="K79" t="s">
        <v>10</v>
      </c>
    </row>
    <row r="80" spans="1:11">
      <c r="A80" s="123">
        <v>252633</v>
      </c>
      <c r="B80" s="162">
        <v>45848</v>
      </c>
      <c r="C80" s="1" t="s">
        <v>169</v>
      </c>
      <c r="D80" s="128">
        <v>1</v>
      </c>
      <c r="E80" s="115" t="s">
        <v>180</v>
      </c>
      <c r="F80" s="132">
        <v>2100</v>
      </c>
      <c r="G80" s="133">
        <v>2100</v>
      </c>
      <c r="H80" t="s">
        <v>26</v>
      </c>
      <c r="I80" t="s">
        <v>171</v>
      </c>
      <c r="J80" t="s">
        <v>24</v>
      </c>
      <c r="K80" t="s">
        <v>10</v>
      </c>
    </row>
    <row r="81" spans="1:18">
      <c r="A81" s="123">
        <v>252634</v>
      </c>
      <c r="B81" s="162">
        <v>45849</v>
      </c>
      <c r="C81" s="1" t="s">
        <v>97</v>
      </c>
      <c r="D81" s="128">
        <v>1</v>
      </c>
      <c r="E81" s="115" t="s">
        <v>181</v>
      </c>
      <c r="F81" s="132">
        <v>311</v>
      </c>
      <c r="G81" s="181">
        <v>311</v>
      </c>
      <c r="H81" t="s">
        <v>26</v>
      </c>
      <c r="I81" t="s">
        <v>99</v>
      </c>
      <c r="J81" t="s">
        <v>24</v>
      </c>
      <c r="K81" t="s">
        <v>10</v>
      </c>
    </row>
    <row r="82" spans="1:18">
      <c r="A82" s="123">
        <v>252634</v>
      </c>
      <c r="B82" s="162">
        <v>45849</v>
      </c>
      <c r="C82" s="1" t="s">
        <v>97</v>
      </c>
      <c r="D82" s="128">
        <v>1</v>
      </c>
      <c r="E82" s="115" t="s">
        <v>182</v>
      </c>
      <c r="F82" s="132">
        <v>498</v>
      </c>
      <c r="G82" s="197">
        <v>498</v>
      </c>
      <c r="H82" t="s">
        <v>26</v>
      </c>
      <c r="I82" t="s">
        <v>99</v>
      </c>
      <c r="J82" t="s">
        <v>24</v>
      </c>
      <c r="K82" t="s">
        <v>10</v>
      </c>
    </row>
    <row r="83" spans="1:18">
      <c r="A83" s="123">
        <v>252635</v>
      </c>
      <c r="B83" s="162">
        <v>45852</v>
      </c>
      <c r="C83" s="1" t="s">
        <v>183</v>
      </c>
      <c r="D83" s="128">
        <v>4</v>
      </c>
      <c r="E83" s="115" t="s">
        <v>184</v>
      </c>
      <c r="F83" s="132">
        <v>2000</v>
      </c>
      <c r="G83" s="181">
        <v>2000</v>
      </c>
      <c r="H83" t="s">
        <v>31</v>
      </c>
      <c r="J83" t="s">
        <v>24</v>
      </c>
      <c r="K83" t="s">
        <v>10</v>
      </c>
    </row>
    <row r="84" spans="1:18">
      <c r="A84" s="123">
        <v>252639</v>
      </c>
      <c r="B84" s="162">
        <v>45863</v>
      </c>
      <c r="C84" s="1" t="s">
        <v>185</v>
      </c>
      <c r="D84" s="128">
        <v>1</v>
      </c>
      <c r="E84" s="115" t="s">
        <v>186</v>
      </c>
      <c r="F84" s="132">
        <v>8330</v>
      </c>
      <c r="G84" s="181">
        <v>8330</v>
      </c>
      <c r="H84" t="s">
        <v>31</v>
      </c>
      <c r="J84" t="s">
        <v>24</v>
      </c>
      <c r="K84" t="s">
        <v>10</v>
      </c>
    </row>
    <row r="85" spans="1:18">
      <c r="A85" s="123">
        <v>252639</v>
      </c>
      <c r="B85" s="162">
        <v>45863</v>
      </c>
      <c r="C85" s="1" t="s">
        <v>185</v>
      </c>
      <c r="D85" s="128">
        <v>1</v>
      </c>
      <c r="E85" s="115" t="s">
        <v>187</v>
      </c>
      <c r="F85" s="132">
        <v>4280</v>
      </c>
      <c r="G85" s="133">
        <v>4280</v>
      </c>
      <c r="H85" t="s">
        <v>31</v>
      </c>
      <c r="J85" t="s">
        <v>24</v>
      </c>
      <c r="K85" t="s">
        <v>10</v>
      </c>
    </row>
    <row r="86" spans="1:18">
      <c r="A86" s="123">
        <v>252639</v>
      </c>
      <c r="B86" s="162">
        <v>45863</v>
      </c>
      <c r="C86" s="1" t="s">
        <v>185</v>
      </c>
      <c r="D86" s="128">
        <v>1</v>
      </c>
      <c r="E86" s="115" t="s">
        <v>188</v>
      </c>
      <c r="F86" s="132">
        <v>1640</v>
      </c>
      <c r="G86" s="181">
        <v>1640</v>
      </c>
      <c r="H86" t="s">
        <v>31</v>
      </c>
      <c r="J86" t="s">
        <v>24</v>
      </c>
      <c r="K86" t="s">
        <v>10</v>
      </c>
    </row>
    <row r="87" spans="1:18">
      <c r="A87" s="123">
        <v>252639</v>
      </c>
      <c r="B87" s="162">
        <v>45863</v>
      </c>
      <c r="C87" s="1" t="s">
        <v>185</v>
      </c>
      <c r="D87" s="128">
        <v>2</v>
      </c>
      <c r="E87" s="115" t="s">
        <v>189</v>
      </c>
      <c r="F87" s="132">
        <v>2980</v>
      </c>
      <c r="G87" s="133">
        <v>5960</v>
      </c>
      <c r="H87" t="s">
        <v>31</v>
      </c>
      <c r="J87" t="s">
        <v>24</v>
      </c>
      <c r="K87" t="s">
        <v>10</v>
      </c>
    </row>
    <row r="88" spans="1:18">
      <c r="A88" s="123">
        <v>252639</v>
      </c>
      <c r="B88" s="162">
        <v>45863</v>
      </c>
      <c r="C88" s="1" t="s">
        <v>185</v>
      </c>
      <c r="D88" s="128">
        <v>7</v>
      </c>
      <c r="E88" s="115" t="s">
        <v>190</v>
      </c>
      <c r="F88" s="132">
        <v>73</v>
      </c>
      <c r="G88" s="181">
        <v>511</v>
      </c>
      <c r="H88" t="s">
        <v>31</v>
      </c>
      <c r="J88" t="s">
        <v>24</v>
      </c>
      <c r="K88" t="s">
        <v>10</v>
      </c>
    </row>
    <row r="89" spans="1:18">
      <c r="A89" s="123">
        <v>252639</v>
      </c>
      <c r="B89" s="162">
        <v>45863</v>
      </c>
      <c r="C89" s="1" t="s">
        <v>185</v>
      </c>
      <c r="D89" s="128">
        <v>18</v>
      </c>
      <c r="E89" s="115" t="s">
        <v>161</v>
      </c>
      <c r="F89" s="132">
        <v>28</v>
      </c>
      <c r="G89" s="181">
        <v>504</v>
      </c>
      <c r="H89" t="s">
        <v>31</v>
      </c>
      <c r="J89" t="s">
        <v>24</v>
      </c>
      <c r="K89" t="s">
        <v>10</v>
      </c>
    </row>
    <row r="90" spans="1:18">
      <c r="A90" s="123">
        <v>252639</v>
      </c>
      <c r="B90" s="162">
        <v>45863</v>
      </c>
      <c r="C90" s="1" t="s">
        <v>185</v>
      </c>
      <c r="D90" s="128">
        <v>23</v>
      </c>
      <c r="E90" s="115" t="s">
        <v>191</v>
      </c>
      <c r="F90" s="132">
        <v>46</v>
      </c>
      <c r="G90" s="181">
        <v>1058</v>
      </c>
      <c r="H90" t="s">
        <v>31</v>
      </c>
      <c r="J90" t="s">
        <v>24</v>
      </c>
      <c r="K90" t="s">
        <v>10</v>
      </c>
    </row>
    <row r="91" spans="1:18">
      <c r="A91" s="123">
        <v>252639</v>
      </c>
      <c r="B91" s="162">
        <v>45863</v>
      </c>
      <c r="C91" s="1" t="s">
        <v>185</v>
      </c>
      <c r="D91" s="128">
        <v>210</v>
      </c>
      <c r="E91" s="115" t="s">
        <v>192</v>
      </c>
      <c r="F91" s="132">
        <v>5</v>
      </c>
      <c r="G91" s="133">
        <v>1050</v>
      </c>
      <c r="H91" t="s">
        <v>31</v>
      </c>
      <c r="J91" t="s">
        <v>24</v>
      </c>
      <c r="K91" t="s">
        <v>10</v>
      </c>
    </row>
    <row r="92" spans="1:18" s="163" customFormat="1">
      <c r="A92" s="123">
        <v>252639</v>
      </c>
      <c r="B92" s="162">
        <v>45863</v>
      </c>
      <c r="C92" s="1" t="s">
        <v>185</v>
      </c>
      <c r="D92" s="128">
        <v>210</v>
      </c>
      <c r="E92" s="115" t="s">
        <v>193</v>
      </c>
      <c r="F92" s="132">
        <v>36</v>
      </c>
      <c r="G92" s="133">
        <v>7560</v>
      </c>
      <c r="H92" t="s">
        <v>31</v>
      </c>
      <c r="I92"/>
      <c r="J92" t="s">
        <v>24</v>
      </c>
      <c r="K92" t="s">
        <v>10</v>
      </c>
      <c r="L92"/>
      <c r="M92"/>
      <c r="N92"/>
      <c r="O92"/>
      <c r="R92" s="142"/>
    </row>
    <row r="93" spans="1:18">
      <c r="A93" s="123">
        <v>252639</v>
      </c>
      <c r="B93" s="162">
        <v>45863</v>
      </c>
      <c r="C93" s="1" t="s">
        <v>185</v>
      </c>
      <c r="D93" s="128">
        <v>0.5</v>
      </c>
      <c r="E93" s="115" t="s">
        <v>194</v>
      </c>
      <c r="F93" s="132">
        <v>3860</v>
      </c>
      <c r="G93" s="133">
        <v>1930</v>
      </c>
      <c r="H93" t="s">
        <v>31</v>
      </c>
      <c r="J93" t="s">
        <v>24</v>
      </c>
      <c r="K93" t="s">
        <v>10</v>
      </c>
    </row>
    <row r="94" spans="1:18">
      <c r="A94" s="123">
        <v>252639</v>
      </c>
      <c r="B94" s="162">
        <v>45863</v>
      </c>
      <c r="C94" s="1" t="s">
        <v>185</v>
      </c>
      <c r="D94" s="128">
        <v>0</v>
      </c>
      <c r="E94" s="115" t="s">
        <v>195</v>
      </c>
      <c r="F94" s="132">
        <v>2980</v>
      </c>
      <c r="G94" s="133">
        <v>0</v>
      </c>
      <c r="H94" t="s">
        <v>31</v>
      </c>
      <c r="J94" t="s">
        <v>24</v>
      </c>
      <c r="K94" t="s">
        <v>10</v>
      </c>
    </row>
    <row r="95" spans="1:18">
      <c r="A95" s="123">
        <v>252639</v>
      </c>
      <c r="B95" s="162">
        <v>45863</v>
      </c>
      <c r="C95" s="1" t="s">
        <v>185</v>
      </c>
      <c r="D95" s="128">
        <v>1</v>
      </c>
      <c r="E95" s="115" t="s">
        <v>196</v>
      </c>
      <c r="F95" s="132">
        <v>360</v>
      </c>
      <c r="G95" s="133">
        <v>360</v>
      </c>
      <c r="H95" t="s">
        <v>31</v>
      </c>
      <c r="J95" t="s">
        <v>24</v>
      </c>
      <c r="K95" t="s">
        <v>10</v>
      </c>
    </row>
    <row r="96" spans="1:18">
      <c r="A96" s="123">
        <v>252639</v>
      </c>
      <c r="B96" s="162">
        <v>45863</v>
      </c>
      <c r="C96" s="1" t="s">
        <v>185</v>
      </c>
      <c r="D96" s="128">
        <v>1</v>
      </c>
      <c r="E96" s="115" t="s">
        <v>197</v>
      </c>
      <c r="F96" s="132">
        <v>2400</v>
      </c>
      <c r="G96" s="133">
        <v>2400</v>
      </c>
      <c r="H96" t="s">
        <v>31</v>
      </c>
      <c r="J96" t="s">
        <v>24</v>
      </c>
      <c r="K96" t="s">
        <v>10</v>
      </c>
    </row>
    <row r="97" spans="1:23">
      <c r="A97" s="123">
        <v>252639</v>
      </c>
      <c r="B97" s="162">
        <v>45863</v>
      </c>
      <c r="C97" s="1" t="s">
        <v>185</v>
      </c>
      <c r="D97" s="128">
        <v>1</v>
      </c>
      <c r="E97" s="115" t="s">
        <v>198</v>
      </c>
      <c r="F97" s="132">
        <v>497</v>
      </c>
      <c r="G97" s="133">
        <v>497</v>
      </c>
      <c r="H97" t="s">
        <v>31</v>
      </c>
      <c r="J97" t="s">
        <v>24</v>
      </c>
      <c r="K97" t="s">
        <v>10</v>
      </c>
      <c r="V97">
        <v>6990</v>
      </c>
    </row>
    <row r="98" spans="1:23">
      <c r="A98" s="123">
        <v>252639</v>
      </c>
      <c r="B98" s="162">
        <v>45863</v>
      </c>
      <c r="C98" s="1" t="s">
        <v>185</v>
      </c>
      <c r="D98" s="128">
        <v>1</v>
      </c>
      <c r="E98" s="115" t="s">
        <v>199</v>
      </c>
      <c r="F98" s="132">
        <v>480</v>
      </c>
      <c r="G98" s="133">
        <v>480</v>
      </c>
      <c r="H98" t="s">
        <v>31</v>
      </c>
      <c r="J98" t="s">
        <v>24</v>
      </c>
      <c r="K98" t="s">
        <v>10</v>
      </c>
      <c r="U98" t="e">
        <f>#REF!-V98</f>
        <v>#REF!</v>
      </c>
      <c r="V98" t="e">
        <f>#REF!+V97+#REF!</f>
        <v>#REF!</v>
      </c>
    </row>
    <row r="99" spans="1:23">
      <c r="A99" s="123">
        <v>252640</v>
      </c>
      <c r="B99" s="162">
        <v>45866</v>
      </c>
      <c r="C99" s="1" t="s">
        <v>200</v>
      </c>
      <c r="D99" s="128">
        <v>3</v>
      </c>
      <c r="E99" s="115" t="s">
        <v>201</v>
      </c>
      <c r="F99" s="132">
        <v>460</v>
      </c>
      <c r="G99" s="197">
        <v>1380</v>
      </c>
      <c r="H99" t="s">
        <v>26</v>
      </c>
      <c r="J99" t="s">
        <v>24</v>
      </c>
      <c r="K99" t="s">
        <v>10</v>
      </c>
    </row>
    <row r="100" spans="1:23">
      <c r="A100" s="123">
        <v>252640</v>
      </c>
      <c r="B100" s="162">
        <v>45866</v>
      </c>
      <c r="C100" s="1" t="s">
        <v>200</v>
      </c>
      <c r="D100" s="128">
        <v>1</v>
      </c>
      <c r="E100" s="115" t="s">
        <v>202</v>
      </c>
      <c r="F100" s="132">
        <v>404</v>
      </c>
      <c r="G100" s="149">
        <v>404</v>
      </c>
      <c r="H100" t="s">
        <v>26</v>
      </c>
      <c r="J100" t="s">
        <v>24</v>
      </c>
      <c r="K100" t="s">
        <v>10</v>
      </c>
    </row>
    <row r="101" spans="1:23">
      <c r="A101" s="123">
        <v>252641</v>
      </c>
      <c r="B101" s="162">
        <v>45868</v>
      </c>
      <c r="C101" s="1" t="s">
        <v>203</v>
      </c>
      <c r="D101" s="128">
        <v>1</v>
      </c>
      <c r="E101" s="115" t="s">
        <v>204</v>
      </c>
      <c r="F101" s="132">
        <v>389.83</v>
      </c>
      <c r="G101" s="149">
        <v>389.83</v>
      </c>
      <c r="H101" t="s">
        <v>26</v>
      </c>
      <c r="J101" t="s">
        <v>24</v>
      </c>
      <c r="K101" t="s">
        <v>10</v>
      </c>
    </row>
    <row r="102" spans="1:23">
      <c r="A102" s="123">
        <v>252641</v>
      </c>
      <c r="B102" s="162">
        <v>45868</v>
      </c>
      <c r="C102" s="1" t="s">
        <v>203</v>
      </c>
      <c r="D102" s="128">
        <v>1</v>
      </c>
      <c r="E102" s="115" t="s">
        <v>205</v>
      </c>
      <c r="F102" s="132">
        <v>389.83</v>
      </c>
      <c r="G102" s="133">
        <v>389.83</v>
      </c>
      <c r="H102" t="s">
        <v>26</v>
      </c>
      <c r="J102" t="s">
        <v>24</v>
      </c>
      <c r="K102" t="s">
        <v>10</v>
      </c>
      <c r="W102">
        <v>2900</v>
      </c>
    </row>
    <row r="103" spans="1:23">
      <c r="A103" s="123">
        <v>252642</v>
      </c>
      <c r="B103" s="162">
        <v>45868</v>
      </c>
      <c r="C103" s="1" t="s">
        <v>206</v>
      </c>
      <c r="D103" s="128">
        <v>1</v>
      </c>
      <c r="E103" s="115" t="s">
        <v>207</v>
      </c>
      <c r="F103" s="132">
        <v>550</v>
      </c>
      <c r="G103" s="181">
        <v>550</v>
      </c>
      <c r="H103" t="s">
        <v>31</v>
      </c>
      <c r="J103" t="s">
        <v>24</v>
      </c>
      <c r="K103" t="s">
        <v>10</v>
      </c>
      <c r="W103">
        <f>SUM(W102:W102)</f>
        <v>2900</v>
      </c>
    </row>
    <row r="104" spans="1:23">
      <c r="A104" s="123">
        <v>252642</v>
      </c>
      <c r="B104" s="162">
        <v>45868</v>
      </c>
      <c r="C104" s="1" t="s">
        <v>206</v>
      </c>
      <c r="D104" s="128">
        <v>40</v>
      </c>
      <c r="E104" s="115" t="s">
        <v>208</v>
      </c>
      <c r="F104" s="132">
        <v>34</v>
      </c>
      <c r="G104" s="181">
        <v>1360</v>
      </c>
      <c r="H104" t="s">
        <v>31</v>
      </c>
      <c r="J104" t="s">
        <v>24</v>
      </c>
      <c r="K104" t="s">
        <v>10</v>
      </c>
    </row>
    <row r="105" spans="1:23">
      <c r="A105" s="123">
        <v>252642</v>
      </c>
      <c r="B105" s="162">
        <v>45868</v>
      </c>
      <c r="C105" s="1" t="s">
        <v>206</v>
      </c>
      <c r="D105" s="128">
        <v>2</v>
      </c>
      <c r="E105" s="115" t="s">
        <v>161</v>
      </c>
      <c r="F105" s="132">
        <v>14</v>
      </c>
      <c r="G105" s="181">
        <v>28</v>
      </c>
      <c r="H105" t="s">
        <v>31</v>
      </c>
      <c r="J105" t="s">
        <v>24</v>
      </c>
      <c r="K105" t="s">
        <v>10</v>
      </c>
    </row>
    <row r="106" spans="1:23">
      <c r="A106" s="123">
        <v>252643</v>
      </c>
      <c r="B106" s="162">
        <v>45870</v>
      </c>
      <c r="C106" s="1" t="s">
        <v>209</v>
      </c>
      <c r="D106" s="128">
        <v>1</v>
      </c>
      <c r="E106" s="115" t="s">
        <v>210</v>
      </c>
      <c r="F106" s="132">
        <v>3644.07</v>
      </c>
      <c r="G106" s="181">
        <v>3644.07</v>
      </c>
      <c r="H106" t="s">
        <v>26</v>
      </c>
      <c r="I106" t="s">
        <v>211</v>
      </c>
      <c r="J106" t="s">
        <v>24</v>
      </c>
      <c r="K106" t="s">
        <v>10</v>
      </c>
    </row>
    <row r="107" spans="1:23">
      <c r="A107" s="123">
        <v>252643</v>
      </c>
      <c r="B107" s="162">
        <v>45870</v>
      </c>
      <c r="C107" s="1" t="s">
        <v>209</v>
      </c>
      <c r="D107" s="128">
        <v>1</v>
      </c>
      <c r="E107" s="115" t="s">
        <v>212</v>
      </c>
      <c r="F107" s="132">
        <v>300</v>
      </c>
      <c r="G107" s="181">
        <v>300</v>
      </c>
      <c r="H107" t="s">
        <v>26</v>
      </c>
      <c r="I107" t="s">
        <v>211</v>
      </c>
      <c r="J107" t="s">
        <v>24</v>
      </c>
      <c r="K107" t="s">
        <v>10</v>
      </c>
    </row>
    <row r="108" spans="1:23">
      <c r="A108" s="123">
        <v>252644</v>
      </c>
      <c r="B108" s="162">
        <v>45870</v>
      </c>
      <c r="C108" s="1" t="s">
        <v>213</v>
      </c>
      <c r="D108" s="128">
        <v>1</v>
      </c>
      <c r="E108" s="115" t="s">
        <v>214</v>
      </c>
      <c r="F108" s="132">
        <v>2960</v>
      </c>
      <c r="G108" s="181">
        <v>2960</v>
      </c>
      <c r="H108" t="s">
        <v>26</v>
      </c>
      <c r="I108" t="s">
        <v>215</v>
      </c>
      <c r="J108" t="s">
        <v>24</v>
      </c>
      <c r="K108" t="s">
        <v>10</v>
      </c>
    </row>
    <row r="109" spans="1:23">
      <c r="A109" s="123">
        <v>252644</v>
      </c>
      <c r="B109" s="162">
        <v>45870</v>
      </c>
      <c r="C109" s="1" t="s">
        <v>213</v>
      </c>
      <c r="D109" s="128">
        <v>1</v>
      </c>
      <c r="E109" s="115" t="s">
        <v>216</v>
      </c>
      <c r="F109" s="132">
        <v>550.85</v>
      </c>
      <c r="G109" s="149">
        <v>550.85</v>
      </c>
      <c r="H109" t="s">
        <v>26</v>
      </c>
      <c r="I109" t="s">
        <v>215</v>
      </c>
      <c r="J109" t="s">
        <v>24</v>
      </c>
      <c r="K109" t="s">
        <v>10</v>
      </c>
    </row>
    <row r="110" spans="1:23">
      <c r="A110" s="123">
        <v>252645</v>
      </c>
      <c r="B110" s="162">
        <v>45870</v>
      </c>
      <c r="C110" s="1" t="s">
        <v>217</v>
      </c>
      <c r="D110" s="128">
        <v>1</v>
      </c>
      <c r="E110" s="115" t="s">
        <v>218</v>
      </c>
      <c r="F110" s="132">
        <v>4300</v>
      </c>
      <c r="G110" s="133">
        <v>4300</v>
      </c>
      <c r="H110" t="s">
        <v>31</v>
      </c>
      <c r="J110" t="s">
        <v>24</v>
      </c>
      <c r="K110" t="s">
        <v>10</v>
      </c>
    </row>
    <row r="111" spans="1:23">
      <c r="A111" s="123">
        <v>252646</v>
      </c>
      <c r="B111" s="162">
        <v>45880</v>
      </c>
      <c r="C111" s="1" t="s">
        <v>97</v>
      </c>
      <c r="D111" s="128">
        <v>1</v>
      </c>
      <c r="E111" s="115" t="s">
        <v>219</v>
      </c>
      <c r="F111" s="132">
        <v>550</v>
      </c>
      <c r="G111" s="133">
        <v>550</v>
      </c>
      <c r="H111" t="s">
        <v>26</v>
      </c>
      <c r="I111" t="s">
        <v>99</v>
      </c>
      <c r="J111" t="s">
        <v>24</v>
      </c>
      <c r="K111" t="s">
        <v>10</v>
      </c>
    </row>
    <row r="112" spans="1:23">
      <c r="A112" s="123">
        <v>252646</v>
      </c>
      <c r="B112" s="162">
        <v>45880</v>
      </c>
      <c r="C112" s="1" t="s">
        <v>97</v>
      </c>
      <c r="D112" s="128">
        <v>1</v>
      </c>
      <c r="E112" s="178" t="s">
        <v>220</v>
      </c>
      <c r="F112" s="132">
        <v>116</v>
      </c>
      <c r="G112" s="133">
        <v>116</v>
      </c>
      <c r="H112" t="s">
        <v>26</v>
      </c>
      <c r="I112" t="s">
        <v>99</v>
      </c>
      <c r="J112" t="s">
        <v>24</v>
      </c>
      <c r="K112" t="s">
        <v>10</v>
      </c>
    </row>
    <row r="113" spans="1:11">
      <c r="A113" s="123">
        <v>252647</v>
      </c>
      <c r="B113" s="162">
        <v>45880</v>
      </c>
      <c r="C113" s="1" t="s">
        <v>221</v>
      </c>
      <c r="D113" s="128">
        <v>1</v>
      </c>
      <c r="E113" s="115" t="s">
        <v>147</v>
      </c>
      <c r="F113" s="132">
        <v>636</v>
      </c>
      <c r="G113" s="197">
        <v>636</v>
      </c>
      <c r="H113" t="s">
        <v>26</v>
      </c>
      <c r="J113" t="s">
        <v>24</v>
      </c>
      <c r="K113" t="s">
        <v>10</v>
      </c>
    </row>
    <row r="114" spans="1:11">
      <c r="A114" s="123">
        <v>252647</v>
      </c>
      <c r="B114" s="162">
        <v>45880</v>
      </c>
      <c r="C114" s="1" t="s">
        <v>221</v>
      </c>
      <c r="D114" s="128">
        <v>1</v>
      </c>
      <c r="E114" s="115" t="s">
        <v>222</v>
      </c>
      <c r="F114" s="132">
        <v>66</v>
      </c>
      <c r="G114" s="181">
        <v>66</v>
      </c>
      <c r="H114" t="s">
        <v>26</v>
      </c>
      <c r="J114" t="s">
        <v>24</v>
      </c>
      <c r="K114" t="s">
        <v>10</v>
      </c>
    </row>
    <row r="115" spans="1:11">
      <c r="A115" s="123">
        <v>252648</v>
      </c>
      <c r="B115" s="162">
        <v>45887</v>
      </c>
      <c r="C115" s="1" t="s">
        <v>137</v>
      </c>
      <c r="D115" s="128">
        <v>1</v>
      </c>
      <c r="E115" s="115" t="s">
        <v>223</v>
      </c>
      <c r="F115" s="132">
        <v>380</v>
      </c>
      <c r="G115" s="197">
        <v>380</v>
      </c>
      <c r="H115" t="s">
        <v>31</v>
      </c>
      <c r="J115" t="s">
        <v>24</v>
      </c>
      <c r="K115" t="s">
        <v>10</v>
      </c>
    </row>
    <row r="116" spans="1:11">
      <c r="A116" s="123">
        <v>252648</v>
      </c>
      <c r="B116" s="162">
        <v>45887</v>
      </c>
      <c r="C116" s="1" t="s">
        <v>137</v>
      </c>
      <c r="E116" s="115"/>
      <c r="G116" s="133">
        <v>0</v>
      </c>
      <c r="H116" t="s">
        <v>31</v>
      </c>
      <c r="J116" t="s">
        <v>24</v>
      </c>
      <c r="K116" t="s">
        <v>10</v>
      </c>
    </row>
    <row r="117" spans="1:11">
      <c r="A117" s="123">
        <v>252649</v>
      </c>
      <c r="B117" s="162">
        <v>45890</v>
      </c>
      <c r="C117" s="1" t="s">
        <v>135</v>
      </c>
      <c r="D117" s="128">
        <v>1</v>
      </c>
      <c r="E117" s="115" t="s">
        <v>224</v>
      </c>
      <c r="F117" s="132">
        <v>12400</v>
      </c>
      <c r="G117" s="181">
        <v>12400</v>
      </c>
      <c r="H117" t="s">
        <v>31</v>
      </c>
      <c r="J117" t="s">
        <v>24</v>
      </c>
      <c r="K117" t="s">
        <v>10</v>
      </c>
    </row>
    <row r="118" spans="1:11">
      <c r="A118" s="123">
        <v>252649</v>
      </c>
      <c r="B118" s="162">
        <v>45890</v>
      </c>
      <c r="C118" s="1" t="s">
        <v>135</v>
      </c>
      <c r="D118" s="128">
        <v>1</v>
      </c>
      <c r="E118" s="115" t="s">
        <v>225</v>
      </c>
      <c r="F118" s="132">
        <v>1960</v>
      </c>
      <c r="G118" s="197">
        <v>1960</v>
      </c>
      <c r="H118" t="s">
        <v>31</v>
      </c>
      <c r="J118" t="s">
        <v>24</v>
      </c>
      <c r="K118" t="s">
        <v>10</v>
      </c>
    </row>
    <row r="119" spans="1:11">
      <c r="A119" s="123">
        <v>252649</v>
      </c>
      <c r="B119" s="162">
        <v>45890</v>
      </c>
      <c r="C119" s="1" t="s">
        <v>135</v>
      </c>
      <c r="D119" s="128">
        <v>1</v>
      </c>
      <c r="E119" s="115" t="s">
        <v>226</v>
      </c>
      <c r="F119" s="132">
        <v>290</v>
      </c>
      <c r="G119" s="197">
        <v>290</v>
      </c>
      <c r="H119" t="s">
        <v>31</v>
      </c>
      <c r="J119" t="s">
        <v>24</v>
      </c>
      <c r="K119" t="s">
        <v>10</v>
      </c>
    </row>
    <row r="120" spans="1:11">
      <c r="A120" s="123">
        <v>252649</v>
      </c>
      <c r="B120" s="162">
        <v>45890</v>
      </c>
      <c r="C120" s="1" t="s">
        <v>135</v>
      </c>
      <c r="E120" s="115"/>
      <c r="G120" s="133">
        <v>0</v>
      </c>
      <c r="H120" t="s">
        <v>31</v>
      </c>
      <c r="J120" t="s">
        <v>24</v>
      </c>
      <c r="K120" t="s">
        <v>10</v>
      </c>
    </row>
    <row r="121" spans="1:11">
      <c r="A121" s="123">
        <v>252650</v>
      </c>
      <c r="B121" s="162">
        <v>45890</v>
      </c>
      <c r="C121" s="1" t="s">
        <v>227</v>
      </c>
      <c r="D121" s="128">
        <v>1</v>
      </c>
      <c r="E121" s="115" t="s">
        <v>228</v>
      </c>
      <c r="F121" s="132">
        <v>360</v>
      </c>
      <c r="G121" s="133">
        <v>360</v>
      </c>
      <c r="H121" t="s">
        <v>31</v>
      </c>
      <c r="J121" t="s">
        <v>24</v>
      </c>
      <c r="K121" t="s">
        <v>10</v>
      </c>
    </row>
    <row r="122" spans="1:11">
      <c r="A122" s="123">
        <v>252651</v>
      </c>
      <c r="B122" s="162">
        <v>45890</v>
      </c>
      <c r="C122" s="1" t="s">
        <v>221</v>
      </c>
      <c r="D122" s="128">
        <v>6</v>
      </c>
      <c r="E122" s="115" t="s">
        <v>229</v>
      </c>
      <c r="F122" s="132">
        <v>32</v>
      </c>
      <c r="G122" s="181">
        <v>192</v>
      </c>
      <c r="H122" t="s">
        <v>26</v>
      </c>
      <c r="J122" t="s">
        <v>24</v>
      </c>
      <c r="K122" t="s">
        <v>10</v>
      </c>
    </row>
    <row r="123" spans="1:11">
      <c r="A123" s="123">
        <v>252651</v>
      </c>
      <c r="B123" s="162">
        <v>45890</v>
      </c>
      <c r="C123" s="1" t="s">
        <v>221</v>
      </c>
      <c r="D123" s="128">
        <v>2</v>
      </c>
      <c r="E123" s="115" t="s">
        <v>230</v>
      </c>
      <c r="F123" s="132">
        <v>300</v>
      </c>
      <c r="G123" s="181">
        <v>600</v>
      </c>
      <c r="H123" t="s">
        <v>26</v>
      </c>
      <c r="J123" t="s">
        <v>24</v>
      </c>
      <c r="K123" t="s">
        <v>10</v>
      </c>
    </row>
    <row r="124" spans="1:11">
      <c r="A124" s="123">
        <v>252651</v>
      </c>
      <c r="B124" s="162">
        <v>45890</v>
      </c>
      <c r="C124" s="1" t="s">
        <v>221</v>
      </c>
      <c r="D124" s="128">
        <v>1</v>
      </c>
      <c r="E124" s="115" t="s">
        <v>231</v>
      </c>
      <c r="F124" s="132">
        <v>1844</v>
      </c>
      <c r="G124" s="181">
        <v>1844</v>
      </c>
      <c r="H124" t="s">
        <v>26</v>
      </c>
      <c r="J124" t="s">
        <v>24</v>
      </c>
      <c r="K124" t="s">
        <v>10</v>
      </c>
    </row>
    <row r="125" spans="1:11">
      <c r="A125" s="123">
        <v>252651</v>
      </c>
      <c r="B125" s="162">
        <v>45890</v>
      </c>
      <c r="C125" s="1" t="s">
        <v>221</v>
      </c>
      <c r="D125" s="128">
        <v>1</v>
      </c>
      <c r="E125" s="115" t="s">
        <v>232</v>
      </c>
      <c r="F125" s="132">
        <v>76</v>
      </c>
      <c r="G125" s="181">
        <v>76</v>
      </c>
      <c r="H125" t="s">
        <v>26</v>
      </c>
      <c r="J125" t="s">
        <v>24</v>
      </c>
      <c r="K125" t="s">
        <v>10</v>
      </c>
    </row>
    <row r="126" spans="1:11">
      <c r="A126" s="123">
        <v>252652</v>
      </c>
      <c r="B126" s="162">
        <v>45896</v>
      </c>
      <c r="C126" s="1" t="s">
        <v>91</v>
      </c>
      <c r="D126" s="128">
        <v>1</v>
      </c>
      <c r="E126" s="115" t="s">
        <v>233</v>
      </c>
      <c r="F126" s="132">
        <v>360</v>
      </c>
      <c r="G126" s="133">
        <v>360</v>
      </c>
      <c r="H126" t="s">
        <v>26</v>
      </c>
      <c r="J126" t="s">
        <v>24</v>
      </c>
      <c r="K126" t="s">
        <v>10</v>
      </c>
    </row>
    <row r="127" spans="1:11">
      <c r="A127" s="123">
        <v>252652</v>
      </c>
      <c r="B127" s="162">
        <v>45896</v>
      </c>
      <c r="C127" s="1" t="s">
        <v>91</v>
      </c>
      <c r="D127" s="128">
        <v>1</v>
      </c>
      <c r="E127" s="115" t="s">
        <v>92</v>
      </c>
      <c r="F127" s="132">
        <v>310</v>
      </c>
      <c r="G127" s="133">
        <v>310</v>
      </c>
      <c r="H127" t="s">
        <v>26</v>
      </c>
      <c r="J127" t="s">
        <v>24</v>
      </c>
      <c r="K127" t="s">
        <v>10</v>
      </c>
    </row>
    <row r="128" spans="1:11">
      <c r="A128" s="123">
        <v>252652</v>
      </c>
      <c r="B128" s="162">
        <v>45896</v>
      </c>
      <c r="C128" s="1" t="s">
        <v>91</v>
      </c>
      <c r="D128" s="128">
        <v>1</v>
      </c>
      <c r="E128" s="115" t="s">
        <v>234</v>
      </c>
      <c r="F128" s="132">
        <v>480</v>
      </c>
      <c r="G128" s="133">
        <v>480</v>
      </c>
      <c r="H128" t="s">
        <v>26</v>
      </c>
      <c r="J128" t="s">
        <v>24</v>
      </c>
      <c r="K128" t="s">
        <v>10</v>
      </c>
    </row>
    <row r="129" spans="1:11">
      <c r="A129" s="123">
        <v>252652</v>
      </c>
      <c r="B129" s="162">
        <v>45896</v>
      </c>
      <c r="C129" s="1" t="s">
        <v>91</v>
      </c>
      <c r="D129" s="128">
        <v>2</v>
      </c>
      <c r="E129" s="115" t="s">
        <v>235</v>
      </c>
      <c r="F129" s="132">
        <v>300</v>
      </c>
      <c r="G129" s="181">
        <v>600</v>
      </c>
      <c r="H129" t="s">
        <v>26</v>
      </c>
      <c r="J129" t="s">
        <v>24</v>
      </c>
      <c r="K129" t="s">
        <v>10</v>
      </c>
    </row>
    <row r="130" spans="1:11">
      <c r="A130" s="123">
        <v>252653</v>
      </c>
      <c r="B130" s="162">
        <v>45896</v>
      </c>
      <c r="C130" s="1" t="s">
        <v>236</v>
      </c>
      <c r="D130" s="128">
        <v>1</v>
      </c>
      <c r="E130" s="115" t="s">
        <v>237</v>
      </c>
      <c r="F130" s="132">
        <v>5240</v>
      </c>
      <c r="G130" s="181">
        <v>5240</v>
      </c>
      <c r="H130" t="s">
        <v>238</v>
      </c>
      <c r="I130" t="s">
        <v>239</v>
      </c>
      <c r="J130" t="s">
        <v>24</v>
      </c>
      <c r="K130" t="s">
        <v>10</v>
      </c>
    </row>
    <row r="131" spans="1:11">
      <c r="A131" s="123">
        <v>252653</v>
      </c>
      <c r="B131" s="162">
        <v>45896</v>
      </c>
      <c r="C131" s="1" t="s">
        <v>236</v>
      </c>
      <c r="D131" s="128">
        <v>1</v>
      </c>
      <c r="E131" s="115" t="s">
        <v>240</v>
      </c>
      <c r="F131" s="132">
        <v>390</v>
      </c>
      <c r="G131" s="181">
        <v>390</v>
      </c>
      <c r="H131" t="s">
        <v>238</v>
      </c>
      <c r="I131" t="s">
        <v>239</v>
      </c>
      <c r="J131" t="s">
        <v>24</v>
      </c>
      <c r="K131" t="s">
        <v>10</v>
      </c>
    </row>
    <row r="132" spans="1:11">
      <c r="A132" s="123">
        <v>252653</v>
      </c>
      <c r="B132" s="162">
        <v>45896</v>
      </c>
      <c r="C132" s="1" t="s">
        <v>236</v>
      </c>
      <c r="E132" s="115"/>
      <c r="G132" s="133">
        <v>0</v>
      </c>
      <c r="H132" t="s">
        <v>238</v>
      </c>
      <c r="I132" t="s">
        <v>239</v>
      </c>
      <c r="J132" t="s">
        <v>24</v>
      </c>
      <c r="K132" t="s">
        <v>10</v>
      </c>
    </row>
    <row r="133" spans="1:11">
      <c r="A133" s="123">
        <v>252654</v>
      </c>
      <c r="B133" s="162">
        <v>45896</v>
      </c>
      <c r="C133" s="1" t="s">
        <v>241</v>
      </c>
      <c r="D133" s="128">
        <v>1</v>
      </c>
      <c r="E133" s="115" t="s">
        <v>242</v>
      </c>
      <c r="F133" s="132">
        <v>3220</v>
      </c>
      <c r="G133" s="133">
        <v>3220</v>
      </c>
      <c r="H133" t="s">
        <v>238</v>
      </c>
      <c r="J133" t="s">
        <v>24</v>
      </c>
      <c r="K133" t="s">
        <v>10</v>
      </c>
    </row>
    <row r="134" spans="1:11">
      <c r="A134" s="123">
        <v>252655</v>
      </c>
      <c r="B134" s="162">
        <v>45896</v>
      </c>
      <c r="C134" s="1" t="s">
        <v>217</v>
      </c>
      <c r="D134" s="128">
        <v>1</v>
      </c>
      <c r="E134" s="115" t="s">
        <v>243</v>
      </c>
      <c r="F134" s="132">
        <v>6850</v>
      </c>
      <c r="G134" s="197">
        <v>6850</v>
      </c>
      <c r="H134" t="s">
        <v>31</v>
      </c>
      <c r="J134" t="s">
        <v>24</v>
      </c>
      <c r="K134" t="s">
        <v>10</v>
      </c>
    </row>
    <row r="135" spans="1:11">
      <c r="A135" s="123">
        <v>252655</v>
      </c>
      <c r="B135" s="162">
        <v>45896</v>
      </c>
      <c r="C135" s="1" t="s">
        <v>217</v>
      </c>
      <c r="D135" s="128">
        <v>1</v>
      </c>
      <c r="E135" s="115" t="s">
        <v>244</v>
      </c>
      <c r="F135" s="132">
        <v>2330</v>
      </c>
      <c r="G135" s="197">
        <v>2330</v>
      </c>
      <c r="H135" t="s">
        <v>31</v>
      </c>
      <c r="J135" t="s">
        <v>24</v>
      </c>
      <c r="K135" t="s">
        <v>10</v>
      </c>
    </row>
    <row r="136" spans="1:11">
      <c r="A136" s="123">
        <v>252655</v>
      </c>
      <c r="B136" s="162">
        <v>45896</v>
      </c>
      <c r="C136" s="1" t="s">
        <v>217</v>
      </c>
      <c r="D136" s="128">
        <v>1</v>
      </c>
      <c r="E136" s="115" t="s">
        <v>245</v>
      </c>
      <c r="F136" s="132">
        <v>590</v>
      </c>
      <c r="G136" s="181">
        <v>590</v>
      </c>
      <c r="H136" t="s">
        <v>31</v>
      </c>
      <c r="J136" t="s">
        <v>24</v>
      </c>
      <c r="K136" t="s">
        <v>10</v>
      </c>
    </row>
    <row r="137" spans="1:11">
      <c r="A137" s="123">
        <v>252655</v>
      </c>
      <c r="B137" s="162">
        <v>45896</v>
      </c>
      <c r="C137" s="1" t="s">
        <v>217</v>
      </c>
      <c r="D137" s="128">
        <v>2</v>
      </c>
      <c r="E137" s="115" t="s">
        <v>240</v>
      </c>
      <c r="F137" s="132">
        <v>550</v>
      </c>
      <c r="G137" s="181">
        <v>1100</v>
      </c>
      <c r="H137" t="s">
        <v>31</v>
      </c>
      <c r="J137" t="s">
        <v>24</v>
      </c>
      <c r="K137" t="s">
        <v>10</v>
      </c>
    </row>
    <row r="138" spans="1:11">
      <c r="A138" s="123">
        <v>252655</v>
      </c>
      <c r="B138" s="162">
        <v>45896</v>
      </c>
      <c r="C138" s="1" t="s">
        <v>217</v>
      </c>
      <c r="D138" s="128">
        <v>1</v>
      </c>
      <c r="E138" s="115" t="s">
        <v>246</v>
      </c>
      <c r="F138" s="132">
        <v>354</v>
      </c>
      <c r="G138" s="181">
        <v>354</v>
      </c>
      <c r="H138" t="s">
        <v>31</v>
      </c>
      <c r="J138" t="s">
        <v>24</v>
      </c>
      <c r="K138" t="s">
        <v>10</v>
      </c>
    </row>
    <row r="139" spans="1:11">
      <c r="A139" s="123">
        <v>252656</v>
      </c>
      <c r="B139" s="162">
        <v>45896</v>
      </c>
      <c r="C139" s="1" t="s">
        <v>97</v>
      </c>
      <c r="D139" s="128">
        <v>1</v>
      </c>
      <c r="E139" s="115" t="s">
        <v>247</v>
      </c>
      <c r="F139" s="132">
        <v>136</v>
      </c>
      <c r="G139" s="181">
        <v>136</v>
      </c>
      <c r="H139" t="s">
        <v>26</v>
      </c>
      <c r="I139" t="s">
        <v>99</v>
      </c>
      <c r="J139" t="s">
        <v>24</v>
      </c>
      <c r="K139" t="s">
        <v>10</v>
      </c>
    </row>
    <row r="140" spans="1:11">
      <c r="A140" s="123">
        <v>252657</v>
      </c>
      <c r="B140" s="162">
        <v>45898</v>
      </c>
      <c r="C140" s="1" t="s">
        <v>241</v>
      </c>
      <c r="D140" s="128">
        <v>2</v>
      </c>
      <c r="E140" s="115" t="s">
        <v>248</v>
      </c>
      <c r="F140" s="132">
        <v>300</v>
      </c>
      <c r="G140" s="181">
        <v>600</v>
      </c>
      <c r="H140" t="s">
        <v>26</v>
      </c>
      <c r="J140" t="s">
        <v>24</v>
      </c>
      <c r="K140" t="s">
        <v>10</v>
      </c>
    </row>
    <row r="141" spans="1:11">
      <c r="A141" s="123">
        <v>252658</v>
      </c>
      <c r="B141" s="162">
        <v>45899</v>
      </c>
      <c r="C141" s="1" t="s">
        <v>135</v>
      </c>
      <c r="D141" s="128">
        <v>1</v>
      </c>
      <c r="E141" s="115" t="s">
        <v>249</v>
      </c>
      <c r="F141" s="132">
        <v>2260</v>
      </c>
      <c r="G141" s="133">
        <v>2260</v>
      </c>
      <c r="H141" t="s">
        <v>238</v>
      </c>
      <c r="J141" t="s">
        <v>24</v>
      </c>
      <c r="K141" t="s">
        <v>10</v>
      </c>
    </row>
    <row r="142" spans="1:11">
      <c r="A142" s="123">
        <v>252659</v>
      </c>
      <c r="B142" s="162">
        <v>45902</v>
      </c>
      <c r="C142" s="1" t="s">
        <v>89</v>
      </c>
      <c r="D142" s="128">
        <v>4</v>
      </c>
      <c r="E142" s="115" t="s">
        <v>250</v>
      </c>
      <c r="F142" s="132">
        <v>580</v>
      </c>
      <c r="G142" s="133">
        <v>2320</v>
      </c>
      <c r="H142" t="s">
        <v>31</v>
      </c>
      <c r="J142" t="s">
        <v>24</v>
      </c>
      <c r="K142" t="s">
        <v>10</v>
      </c>
    </row>
    <row r="143" spans="1:11">
      <c r="A143" s="123">
        <v>252659</v>
      </c>
      <c r="B143" s="162">
        <v>45902</v>
      </c>
      <c r="C143" s="1" t="s">
        <v>89</v>
      </c>
      <c r="D143" s="128">
        <v>1</v>
      </c>
      <c r="E143" s="115" t="s">
        <v>251</v>
      </c>
      <c r="F143" s="132">
        <v>350</v>
      </c>
      <c r="G143" s="181">
        <v>350</v>
      </c>
      <c r="H143" t="s">
        <v>31</v>
      </c>
      <c r="J143" t="s">
        <v>24</v>
      </c>
      <c r="K143" t="s">
        <v>10</v>
      </c>
    </row>
    <row r="144" spans="1:11">
      <c r="A144" s="123">
        <v>252660</v>
      </c>
      <c r="B144" s="162">
        <v>45904</v>
      </c>
      <c r="C144" s="1" t="s">
        <v>183</v>
      </c>
      <c r="D144" s="128">
        <v>1</v>
      </c>
      <c r="E144" s="115" t="s">
        <v>252</v>
      </c>
      <c r="F144" s="132">
        <v>2350</v>
      </c>
      <c r="G144" s="181">
        <v>2350</v>
      </c>
      <c r="H144" t="s">
        <v>26</v>
      </c>
      <c r="J144" t="s">
        <v>24</v>
      </c>
      <c r="K144" t="s">
        <v>10</v>
      </c>
    </row>
    <row r="145" spans="1:11">
      <c r="A145" s="123">
        <v>252660</v>
      </c>
      <c r="B145" s="162">
        <v>45904</v>
      </c>
      <c r="C145" s="1" t="s">
        <v>183</v>
      </c>
      <c r="D145" s="128">
        <v>1</v>
      </c>
      <c r="E145" s="115" t="s">
        <v>253</v>
      </c>
      <c r="F145" s="132">
        <v>1360</v>
      </c>
      <c r="G145" s="181">
        <v>1360</v>
      </c>
      <c r="H145" t="s">
        <v>26</v>
      </c>
      <c r="J145" t="s">
        <v>24</v>
      </c>
      <c r="K145" t="s">
        <v>10</v>
      </c>
    </row>
    <row r="146" spans="1:11">
      <c r="A146" s="123">
        <v>252660</v>
      </c>
      <c r="B146" s="162">
        <v>45904</v>
      </c>
      <c r="C146" s="1" t="s">
        <v>183</v>
      </c>
      <c r="D146" s="128">
        <v>2</v>
      </c>
      <c r="E146" s="178" t="s">
        <v>254</v>
      </c>
      <c r="F146" s="132">
        <v>1000</v>
      </c>
      <c r="G146" s="181">
        <v>2000</v>
      </c>
      <c r="H146" t="s">
        <v>26</v>
      </c>
      <c r="J146" t="s">
        <v>24</v>
      </c>
      <c r="K146" t="s">
        <v>10</v>
      </c>
    </row>
    <row r="147" spans="1:11">
      <c r="A147" s="123">
        <v>252661</v>
      </c>
      <c r="B147" s="162">
        <v>45905</v>
      </c>
      <c r="C147" s="1" t="s">
        <v>135</v>
      </c>
      <c r="D147" s="128">
        <v>1</v>
      </c>
      <c r="E147" s="115" t="s">
        <v>255</v>
      </c>
      <c r="F147" s="132">
        <v>8650</v>
      </c>
      <c r="G147" s="181">
        <v>8650</v>
      </c>
      <c r="H147" t="s">
        <v>238</v>
      </c>
      <c r="J147" t="s">
        <v>24</v>
      </c>
      <c r="K147" t="s">
        <v>10</v>
      </c>
    </row>
    <row r="148" spans="1:11">
      <c r="A148" s="123">
        <v>252661</v>
      </c>
      <c r="B148" s="162">
        <v>45905</v>
      </c>
      <c r="C148" s="1" t="s">
        <v>135</v>
      </c>
      <c r="D148" s="128">
        <v>1</v>
      </c>
      <c r="E148" s="115" t="s">
        <v>256</v>
      </c>
      <c r="F148" s="132">
        <v>2430</v>
      </c>
      <c r="G148" s="133">
        <v>2430</v>
      </c>
      <c r="H148" t="s">
        <v>238</v>
      </c>
      <c r="J148" t="s">
        <v>24</v>
      </c>
      <c r="K148" t="s">
        <v>10</v>
      </c>
    </row>
    <row r="149" spans="1:11">
      <c r="A149" s="123">
        <v>252661</v>
      </c>
      <c r="B149" s="162">
        <v>45905</v>
      </c>
      <c r="C149" s="1" t="s">
        <v>135</v>
      </c>
      <c r="D149" s="128">
        <v>1</v>
      </c>
      <c r="E149" s="115" t="s">
        <v>257</v>
      </c>
      <c r="F149" s="132">
        <v>3340</v>
      </c>
      <c r="G149" s="181">
        <v>3340</v>
      </c>
      <c r="H149" t="s">
        <v>238</v>
      </c>
      <c r="J149" t="s">
        <v>24</v>
      </c>
      <c r="K149" t="s">
        <v>10</v>
      </c>
    </row>
    <row r="150" spans="1:11">
      <c r="A150" s="123">
        <v>252661</v>
      </c>
      <c r="B150" s="162">
        <v>45905</v>
      </c>
      <c r="C150" s="1" t="s">
        <v>135</v>
      </c>
      <c r="D150" s="128">
        <v>1</v>
      </c>
      <c r="E150" s="115" t="s">
        <v>258</v>
      </c>
      <c r="F150" s="132">
        <v>8790</v>
      </c>
      <c r="G150" s="181">
        <v>8790</v>
      </c>
      <c r="H150" t="s">
        <v>238</v>
      </c>
      <c r="J150" t="s">
        <v>24</v>
      </c>
      <c r="K150" t="s">
        <v>10</v>
      </c>
    </row>
    <row r="151" spans="1:11">
      <c r="A151" s="123">
        <v>252661</v>
      </c>
      <c r="B151" s="162">
        <v>45902</v>
      </c>
      <c r="C151" s="1" t="s">
        <v>135</v>
      </c>
      <c r="D151" s="128">
        <v>1</v>
      </c>
      <c r="E151" s="115" t="s">
        <v>259</v>
      </c>
      <c r="F151" s="132">
        <v>2660</v>
      </c>
      <c r="G151" s="181">
        <v>2660</v>
      </c>
      <c r="H151" t="s">
        <v>238</v>
      </c>
      <c r="J151" t="s">
        <v>24</v>
      </c>
      <c r="K151" t="s">
        <v>10</v>
      </c>
    </row>
    <row r="152" spans="1:11">
      <c r="A152" s="123">
        <v>252661</v>
      </c>
      <c r="B152" s="162">
        <v>45902</v>
      </c>
      <c r="C152" s="1" t="s">
        <v>135</v>
      </c>
      <c r="D152" s="128">
        <v>2</v>
      </c>
      <c r="E152" s="115" t="s">
        <v>260</v>
      </c>
      <c r="F152" s="132">
        <v>77</v>
      </c>
      <c r="G152" s="181">
        <v>154</v>
      </c>
      <c r="H152" t="s">
        <v>238</v>
      </c>
      <c r="J152" t="s">
        <v>24</v>
      </c>
      <c r="K152" t="s">
        <v>10</v>
      </c>
    </row>
    <row r="153" spans="1:11">
      <c r="A153" s="123">
        <v>252661</v>
      </c>
      <c r="B153" s="162">
        <v>45902</v>
      </c>
      <c r="C153" s="1" t="s">
        <v>135</v>
      </c>
      <c r="D153" s="128">
        <v>76</v>
      </c>
      <c r="E153" s="115" t="s">
        <v>166</v>
      </c>
      <c r="F153" s="132">
        <v>38</v>
      </c>
      <c r="G153" s="181">
        <v>2888</v>
      </c>
      <c r="H153" t="s">
        <v>238</v>
      </c>
      <c r="J153" t="s">
        <v>24</v>
      </c>
      <c r="K153" t="s">
        <v>10</v>
      </c>
    </row>
    <row r="154" spans="1:11">
      <c r="A154" s="123">
        <v>252661</v>
      </c>
      <c r="B154" s="162">
        <v>45902</v>
      </c>
      <c r="C154" s="1" t="s">
        <v>135</v>
      </c>
      <c r="D154" s="128">
        <v>8</v>
      </c>
      <c r="E154" s="115" t="s">
        <v>161</v>
      </c>
      <c r="F154" s="132">
        <v>28</v>
      </c>
      <c r="G154" s="181">
        <v>224</v>
      </c>
      <c r="H154" t="s">
        <v>238</v>
      </c>
      <c r="J154" t="s">
        <v>24</v>
      </c>
      <c r="K154" t="s">
        <v>10</v>
      </c>
    </row>
    <row r="155" spans="1:11">
      <c r="A155" s="123">
        <v>252661</v>
      </c>
      <c r="B155" s="162">
        <v>45902</v>
      </c>
      <c r="C155" s="1" t="s">
        <v>135</v>
      </c>
      <c r="D155" s="128">
        <v>1</v>
      </c>
      <c r="E155" s="115" t="s">
        <v>261</v>
      </c>
      <c r="F155" s="132">
        <v>1960</v>
      </c>
      <c r="G155" s="181">
        <v>1960</v>
      </c>
      <c r="H155" t="s">
        <v>238</v>
      </c>
      <c r="J155" t="s">
        <v>24</v>
      </c>
      <c r="K155" t="s">
        <v>10</v>
      </c>
    </row>
    <row r="156" spans="1:11">
      <c r="A156" s="123">
        <v>252661</v>
      </c>
      <c r="B156" s="162">
        <v>45902</v>
      </c>
      <c r="C156" s="1" t="s">
        <v>135</v>
      </c>
      <c r="D156" s="128">
        <v>2</v>
      </c>
      <c r="E156" s="115" t="s">
        <v>262</v>
      </c>
      <c r="F156" s="132">
        <v>400</v>
      </c>
      <c r="G156" s="133">
        <v>800</v>
      </c>
      <c r="H156" t="s">
        <v>238</v>
      </c>
      <c r="J156" t="s">
        <v>24</v>
      </c>
      <c r="K156" t="s">
        <v>10</v>
      </c>
    </row>
    <row r="157" spans="1:11">
      <c r="A157" s="123">
        <v>252661</v>
      </c>
      <c r="B157" s="162">
        <v>45902</v>
      </c>
      <c r="C157" s="1" t="s">
        <v>135</v>
      </c>
      <c r="D157" s="128">
        <v>4</v>
      </c>
      <c r="E157" s="115" t="s">
        <v>263</v>
      </c>
      <c r="F157" s="132">
        <v>350</v>
      </c>
      <c r="G157" s="133">
        <v>1400</v>
      </c>
      <c r="H157" t="s">
        <v>238</v>
      </c>
      <c r="J157" t="s">
        <v>24</v>
      </c>
      <c r="K157" t="s">
        <v>10</v>
      </c>
    </row>
    <row r="158" spans="1:11">
      <c r="A158" s="123">
        <v>252662</v>
      </c>
      <c r="B158" s="162">
        <v>45905</v>
      </c>
      <c r="C158" s="1" t="s">
        <v>135</v>
      </c>
      <c r="D158" s="128">
        <v>2</v>
      </c>
      <c r="E158" s="115" t="s">
        <v>264</v>
      </c>
      <c r="F158" s="132">
        <v>466.65</v>
      </c>
      <c r="G158" s="133">
        <v>933.3</v>
      </c>
      <c r="H158" t="s">
        <v>238</v>
      </c>
      <c r="J158" t="s">
        <v>24</v>
      </c>
      <c r="K158" t="s">
        <v>10</v>
      </c>
    </row>
    <row r="159" spans="1:11">
      <c r="A159" s="123">
        <v>252662</v>
      </c>
      <c r="B159" s="162">
        <v>45905</v>
      </c>
      <c r="C159" s="1" t="s">
        <v>135</v>
      </c>
      <c r="D159" s="128">
        <v>2</v>
      </c>
      <c r="E159" s="115" t="s">
        <v>265</v>
      </c>
      <c r="F159" s="132">
        <v>450</v>
      </c>
      <c r="G159" s="181">
        <v>900</v>
      </c>
      <c r="H159" t="s">
        <v>238</v>
      </c>
      <c r="J159" t="s">
        <v>24</v>
      </c>
      <c r="K159" t="s">
        <v>10</v>
      </c>
    </row>
    <row r="160" spans="1:11">
      <c r="A160" s="123">
        <v>252662</v>
      </c>
      <c r="B160" s="162">
        <v>45905</v>
      </c>
      <c r="C160" s="1" t="s">
        <v>135</v>
      </c>
      <c r="D160" s="128">
        <v>1</v>
      </c>
      <c r="E160" s="115" t="s">
        <v>266</v>
      </c>
      <c r="F160" s="132">
        <v>250</v>
      </c>
      <c r="G160" s="181">
        <v>250</v>
      </c>
      <c r="H160" t="s">
        <v>238</v>
      </c>
      <c r="J160" t="s">
        <v>24</v>
      </c>
      <c r="K160" t="s">
        <v>10</v>
      </c>
    </row>
    <row r="161" spans="1:11">
      <c r="A161" s="123">
        <v>252662</v>
      </c>
      <c r="B161" s="162">
        <v>45905</v>
      </c>
      <c r="C161" s="1" t="s">
        <v>135</v>
      </c>
      <c r="D161" s="128">
        <v>1</v>
      </c>
      <c r="E161" s="115" t="s">
        <v>267</v>
      </c>
      <c r="F161" s="132">
        <v>150</v>
      </c>
      <c r="G161" s="181">
        <v>150</v>
      </c>
      <c r="H161" t="s">
        <v>238</v>
      </c>
      <c r="J161" t="s">
        <v>24</v>
      </c>
      <c r="K161" t="s">
        <v>10</v>
      </c>
    </row>
    <row r="162" spans="1:11">
      <c r="A162" s="123">
        <v>252662</v>
      </c>
      <c r="B162" s="162">
        <v>45905</v>
      </c>
      <c r="C162" s="1" t="s">
        <v>135</v>
      </c>
      <c r="D162" s="128">
        <v>1</v>
      </c>
      <c r="E162" s="115" t="s">
        <v>268</v>
      </c>
      <c r="F162" s="132">
        <v>125</v>
      </c>
      <c r="G162" s="181">
        <v>125</v>
      </c>
      <c r="H162" t="s">
        <v>238</v>
      </c>
      <c r="J162" t="s">
        <v>24</v>
      </c>
      <c r="K162" t="s">
        <v>10</v>
      </c>
    </row>
    <row r="163" spans="1:11">
      <c r="A163" s="123">
        <v>252662</v>
      </c>
      <c r="B163" s="162">
        <v>45905</v>
      </c>
      <c r="C163" s="1" t="s">
        <v>135</v>
      </c>
      <c r="D163" s="128">
        <v>1</v>
      </c>
      <c r="E163" s="115" t="s">
        <v>269</v>
      </c>
      <c r="F163" s="132">
        <v>175</v>
      </c>
      <c r="G163" s="133">
        <v>175</v>
      </c>
      <c r="H163" t="s">
        <v>238</v>
      </c>
      <c r="J163" t="s">
        <v>24</v>
      </c>
      <c r="K163" t="s">
        <v>10</v>
      </c>
    </row>
    <row r="164" spans="1:11">
      <c r="A164" s="123">
        <v>252663</v>
      </c>
      <c r="B164" s="162">
        <v>45909</v>
      </c>
      <c r="C164" s="1" t="s">
        <v>135</v>
      </c>
      <c r="D164" s="128">
        <v>1</v>
      </c>
      <c r="E164" s="115" t="s">
        <v>270</v>
      </c>
      <c r="F164" s="132">
        <v>550</v>
      </c>
      <c r="G164" s="133">
        <v>550</v>
      </c>
      <c r="H164" t="s">
        <v>238</v>
      </c>
      <c r="J164" t="s">
        <v>24</v>
      </c>
      <c r="K164" t="s">
        <v>10</v>
      </c>
    </row>
    <row r="165" spans="1:11">
      <c r="A165" s="123">
        <v>252665</v>
      </c>
      <c r="B165" s="162">
        <v>45911</v>
      </c>
      <c r="C165" s="1" t="s">
        <v>135</v>
      </c>
      <c r="D165" s="128">
        <v>1</v>
      </c>
      <c r="E165" s="115" t="s">
        <v>271</v>
      </c>
      <c r="F165" s="132">
        <v>4350</v>
      </c>
      <c r="G165" s="181">
        <v>4350</v>
      </c>
      <c r="H165" t="s">
        <v>238</v>
      </c>
      <c r="J165" t="s">
        <v>24</v>
      </c>
      <c r="K165" t="s">
        <v>10</v>
      </c>
    </row>
    <row r="166" spans="1:11">
      <c r="A166" s="123">
        <v>252666</v>
      </c>
      <c r="B166" s="162">
        <v>45911</v>
      </c>
      <c r="C166" s="1" t="s">
        <v>135</v>
      </c>
      <c r="D166" s="128">
        <v>1</v>
      </c>
      <c r="E166" s="115" t="s">
        <v>272</v>
      </c>
      <c r="F166" s="132">
        <v>750</v>
      </c>
      <c r="G166" s="133">
        <v>750</v>
      </c>
      <c r="H166" t="s">
        <v>238</v>
      </c>
      <c r="J166" t="s">
        <v>24</v>
      </c>
      <c r="K166" t="s">
        <v>10</v>
      </c>
    </row>
    <row r="167" spans="1:11">
      <c r="A167" s="123">
        <v>252666</v>
      </c>
      <c r="B167" s="162">
        <v>45911</v>
      </c>
      <c r="C167" s="1" t="s">
        <v>135</v>
      </c>
      <c r="D167" s="128">
        <v>1</v>
      </c>
      <c r="E167" s="115" t="s">
        <v>273</v>
      </c>
      <c r="F167" s="132">
        <v>650</v>
      </c>
      <c r="G167" s="181">
        <v>650</v>
      </c>
      <c r="H167" t="s">
        <v>238</v>
      </c>
      <c r="J167" t="s">
        <v>24</v>
      </c>
      <c r="K167" t="s">
        <v>10</v>
      </c>
    </row>
    <row r="168" spans="1:11">
      <c r="A168" s="123">
        <v>252667</v>
      </c>
      <c r="B168" s="162">
        <v>45915</v>
      </c>
      <c r="C168" s="1" t="s">
        <v>200</v>
      </c>
      <c r="D168" s="128">
        <v>1</v>
      </c>
      <c r="E168" s="115" t="s">
        <v>274</v>
      </c>
      <c r="F168" s="132">
        <v>2840</v>
      </c>
      <c r="G168" s="181">
        <v>2840</v>
      </c>
      <c r="H168" t="s">
        <v>238</v>
      </c>
      <c r="J168" t="s">
        <v>24</v>
      </c>
      <c r="K168" t="s">
        <v>10</v>
      </c>
    </row>
    <row r="169" spans="1:11">
      <c r="A169" s="123">
        <v>252667</v>
      </c>
      <c r="B169" s="162">
        <v>45915</v>
      </c>
      <c r="C169" s="1" t="s">
        <v>200</v>
      </c>
      <c r="D169" s="128">
        <v>1</v>
      </c>
      <c r="E169" s="115" t="s">
        <v>275</v>
      </c>
      <c r="F169" s="132">
        <v>760</v>
      </c>
      <c r="G169" s="181">
        <v>760</v>
      </c>
      <c r="H169" t="s">
        <v>238</v>
      </c>
      <c r="J169" t="s">
        <v>24</v>
      </c>
      <c r="K169" t="s">
        <v>10</v>
      </c>
    </row>
    <row r="170" spans="1:11">
      <c r="A170" s="123">
        <v>252668</v>
      </c>
      <c r="B170" s="162">
        <v>45915</v>
      </c>
      <c r="C170" s="1" t="s">
        <v>200</v>
      </c>
      <c r="D170" s="128">
        <v>1</v>
      </c>
      <c r="E170" s="115" t="s">
        <v>276</v>
      </c>
      <c r="F170" s="132">
        <v>644.07000000000005</v>
      </c>
      <c r="G170" s="181">
        <v>644.07000000000005</v>
      </c>
      <c r="H170" t="s">
        <v>26</v>
      </c>
      <c r="J170" t="s">
        <v>24</v>
      </c>
      <c r="K170" t="s">
        <v>10</v>
      </c>
    </row>
    <row r="171" spans="1:11">
      <c r="A171" s="123">
        <v>252668</v>
      </c>
      <c r="B171" s="162">
        <v>45915</v>
      </c>
      <c r="C171" s="1" t="s">
        <v>200</v>
      </c>
      <c r="D171" s="128">
        <v>1</v>
      </c>
      <c r="E171" s="115" t="s">
        <v>277</v>
      </c>
      <c r="F171" s="132">
        <v>600</v>
      </c>
      <c r="G171" s="181">
        <v>600</v>
      </c>
      <c r="H171" t="s">
        <v>26</v>
      </c>
      <c r="J171" t="s">
        <v>24</v>
      </c>
      <c r="K171" t="s">
        <v>10</v>
      </c>
    </row>
    <row r="172" spans="1:11">
      <c r="A172" s="123">
        <v>252668</v>
      </c>
      <c r="B172" s="162">
        <v>45915</v>
      </c>
      <c r="C172" s="1" t="s">
        <v>200</v>
      </c>
      <c r="D172" s="128">
        <v>1</v>
      </c>
      <c r="E172" s="115" t="s">
        <v>254</v>
      </c>
      <c r="F172" s="132">
        <v>300</v>
      </c>
      <c r="G172" s="181">
        <v>300</v>
      </c>
      <c r="H172" t="s">
        <v>26</v>
      </c>
      <c r="J172" t="s">
        <v>24</v>
      </c>
      <c r="K172" t="s">
        <v>10</v>
      </c>
    </row>
    <row r="173" spans="1:11">
      <c r="A173" s="123">
        <v>252669</v>
      </c>
      <c r="B173" s="162">
        <v>45924</v>
      </c>
      <c r="C173" s="1" t="s">
        <v>278</v>
      </c>
      <c r="D173" s="128">
        <v>2</v>
      </c>
      <c r="E173" s="115" t="s">
        <v>279</v>
      </c>
      <c r="F173" s="132">
        <v>500</v>
      </c>
      <c r="G173" s="197">
        <v>1000</v>
      </c>
      <c r="H173" t="s">
        <v>31</v>
      </c>
      <c r="J173" t="s">
        <v>24</v>
      </c>
      <c r="K173" t="s">
        <v>10</v>
      </c>
    </row>
    <row r="174" spans="1:11">
      <c r="A174" s="123">
        <v>252670</v>
      </c>
      <c r="B174" s="162">
        <v>45925</v>
      </c>
      <c r="C174" s="1" t="s">
        <v>89</v>
      </c>
      <c r="D174" s="128">
        <v>2</v>
      </c>
      <c r="E174" s="115" t="s">
        <v>280</v>
      </c>
      <c r="F174" s="132">
        <v>600</v>
      </c>
      <c r="G174" s="133">
        <v>1200</v>
      </c>
      <c r="H174" t="s">
        <v>31</v>
      </c>
      <c r="J174" t="s">
        <v>24</v>
      </c>
      <c r="K174" t="s">
        <v>10</v>
      </c>
    </row>
    <row r="175" spans="1:11">
      <c r="A175" s="123">
        <v>252671</v>
      </c>
      <c r="B175" s="162">
        <v>45931</v>
      </c>
      <c r="C175" s="1" t="s">
        <v>278</v>
      </c>
      <c r="D175" s="128">
        <v>1</v>
      </c>
      <c r="E175" s="115" t="s">
        <v>281</v>
      </c>
      <c r="F175" s="132">
        <v>350</v>
      </c>
      <c r="G175" s="181">
        <v>350</v>
      </c>
      <c r="H175" t="s">
        <v>31</v>
      </c>
      <c r="J175" t="s">
        <v>24</v>
      </c>
      <c r="K175" t="s">
        <v>10</v>
      </c>
    </row>
    <row r="176" spans="1:11">
      <c r="A176" s="123">
        <v>252671</v>
      </c>
      <c r="B176" s="162">
        <v>45931</v>
      </c>
      <c r="C176" s="1" t="s">
        <v>278</v>
      </c>
      <c r="D176" s="128">
        <v>1</v>
      </c>
      <c r="E176" s="115" t="s">
        <v>282</v>
      </c>
      <c r="F176" s="132">
        <v>900</v>
      </c>
      <c r="G176" s="181">
        <v>900</v>
      </c>
      <c r="H176" t="s">
        <v>31</v>
      </c>
      <c r="J176" t="s">
        <v>24</v>
      </c>
      <c r="K176" t="s">
        <v>10</v>
      </c>
    </row>
    <row r="177" spans="1:11">
      <c r="A177" s="123">
        <v>252671</v>
      </c>
      <c r="B177" s="162">
        <v>45931</v>
      </c>
      <c r="C177" s="1" t="s">
        <v>278</v>
      </c>
      <c r="D177" s="128">
        <v>2</v>
      </c>
      <c r="E177" s="115" t="s">
        <v>283</v>
      </c>
      <c r="F177" s="132">
        <v>105</v>
      </c>
      <c r="G177" s="181">
        <v>210</v>
      </c>
      <c r="H177" t="s">
        <v>31</v>
      </c>
      <c r="J177" t="s">
        <v>24</v>
      </c>
      <c r="K177" t="s">
        <v>10</v>
      </c>
    </row>
    <row r="178" spans="1:11">
      <c r="A178" s="123">
        <v>252671</v>
      </c>
      <c r="B178" s="162">
        <v>45931</v>
      </c>
      <c r="C178" s="1" t="s">
        <v>278</v>
      </c>
      <c r="D178" s="128">
        <v>2</v>
      </c>
      <c r="E178" s="115" t="s">
        <v>284</v>
      </c>
      <c r="F178" s="132">
        <v>140</v>
      </c>
      <c r="G178" s="181">
        <v>280</v>
      </c>
      <c r="H178" t="s">
        <v>31</v>
      </c>
      <c r="J178" t="s">
        <v>24</v>
      </c>
      <c r="K178" t="s">
        <v>10</v>
      </c>
    </row>
    <row r="179" spans="1:11">
      <c r="A179" s="123">
        <v>252672</v>
      </c>
      <c r="B179" s="162">
        <v>45931</v>
      </c>
      <c r="C179" s="1" t="s">
        <v>89</v>
      </c>
      <c r="D179" s="128">
        <v>1</v>
      </c>
      <c r="E179" s="115" t="s">
        <v>285</v>
      </c>
      <c r="F179" s="132">
        <v>650</v>
      </c>
      <c r="G179" s="181">
        <v>650</v>
      </c>
      <c r="H179" t="s">
        <v>31</v>
      </c>
      <c r="J179" t="s">
        <v>24</v>
      </c>
      <c r="K179" t="s">
        <v>10</v>
      </c>
    </row>
    <row r="180" spans="1:11">
      <c r="A180" s="123">
        <v>252672</v>
      </c>
      <c r="B180" s="162">
        <v>45931</v>
      </c>
      <c r="C180" s="1" t="s">
        <v>89</v>
      </c>
      <c r="D180" s="128">
        <v>1</v>
      </c>
      <c r="E180" s="115" t="s">
        <v>286</v>
      </c>
      <c r="F180" s="132">
        <v>1450</v>
      </c>
      <c r="G180" s="181">
        <v>1450</v>
      </c>
      <c r="H180" t="s">
        <v>31</v>
      </c>
      <c r="J180" t="s">
        <v>24</v>
      </c>
      <c r="K180" t="s">
        <v>10</v>
      </c>
    </row>
    <row r="181" spans="1:11">
      <c r="A181" s="123">
        <v>252672</v>
      </c>
      <c r="B181" s="162">
        <v>45931</v>
      </c>
      <c r="C181" s="1" t="s">
        <v>89</v>
      </c>
      <c r="D181" s="128">
        <v>2</v>
      </c>
      <c r="E181" s="115" t="s">
        <v>287</v>
      </c>
      <c r="F181" s="132">
        <v>30</v>
      </c>
      <c r="G181" s="181">
        <v>60</v>
      </c>
      <c r="H181" t="s">
        <v>31</v>
      </c>
      <c r="J181" t="s">
        <v>24</v>
      </c>
      <c r="K181" t="s">
        <v>10</v>
      </c>
    </row>
    <row r="182" spans="1:11">
      <c r="A182" s="123">
        <v>252672</v>
      </c>
      <c r="B182" s="162">
        <v>45931</v>
      </c>
      <c r="C182" s="1" t="s">
        <v>89</v>
      </c>
      <c r="D182" s="128">
        <v>2</v>
      </c>
      <c r="E182" s="115" t="s">
        <v>288</v>
      </c>
      <c r="F182" s="132">
        <v>20</v>
      </c>
      <c r="G182" s="181">
        <v>40</v>
      </c>
      <c r="H182" t="s">
        <v>31</v>
      </c>
      <c r="J182" t="s">
        <v>24</v>
      </c>
      <c r="K182" t="s">
        <v>10</v>
      </c>
    </row>
    <row r="183" spans="1:11">
      <c r="A183" s="123">
        <v>252672</v>
      </c>
      <c r="B183" s="162">
        <v>45931</v>
      </c>
      <c r="C183" s="1" t="s">
        <v>89</v>
      </c>
      <c r="D183" s="128">
        <v>1</v>
      </c>
      <c r="E183" s="115" t="s">
        <v>289</v>
      </c>
      <c r="F183" s="132">
        <v>450</v>
      </c>
      <c r="G183" s="181">
        <v>450</v>
      </c>
      <c r="H183" t="s">
        <v>31</v>
      </c>
      <c r="J183" t="s">
        <v>24</v>
      </c>
      <c r="K183" t="s">
        <v>10</v>
      </c>
    </row>
    <row r="184" spans="1:11">
      <c r="A184" s="123">
        <v>252673</v>
      </c>
      <c r="B184" s="162">
        <v>45937</v>
      </c>
      <c r="C184" s="1" t="s">
        <v>278</v>
      </c>
      <c r="D184" s="128">
        <v>3</v>
      </c>
      <c r="E184" s="115" t="s">
        <v>290</v>
      </c>
      <c r="F184" s="132">
        <v>350</v>
      </c>
      <c r="G184" s="133">
        <v>1050</v>
      </c>
      <c r="H184" t="s">
        <v>31</v>
      </c>
      <c r="J184" t="s">
        <v>24</v>
      </c>
      <c r="K184" t="s">
        <v>10</v>
      </c>
    </row>
    <row r="185" spans="1:11">
      <c r="A185" s="123">
        <v>252673</v>
      </c>
      <c r="B185" s="162">
        <v>45937</v>
      </c>
      <c r="C185" s="1" t="s">
        <v>278</v>
      </c>
      <c r="D185" s="128">
        <v>1</v>
      </c>
      <c r="E185" s="115" t="s">
        <v>291</v>
      </c>
      <c r="F185" s="132">
        <v>885</v>
      </c>
      <c r="G185" s="133">
        <v>885</v>
      </c>
      <c r="H185" t="s">
        <v>31</v>
      </c>
      <c r="J185" t="s">
        <v>24</v>
      </c>
      <c r="K185" t="s">
        <v>10</v>
      </c>
    </row>
    <row r="186" spans="1:11" ht="26.25">
      <c r="A186" s="123">
        <v>252674</v>
      </c>
      <c r="B186" s="162">
        <v>45939</v>
      </c>
      <c r="C186" s="1" t="s">
        <v>292</v>
      </c>
      <c r="D186" s="128">
        <v>1</v>
      </c>
      <c r="E186" s="178" t="s">
        <v>293</v>
      </c>
      <c r="F186" s="132">
        <v>31780</v>
      </c>
      <c r="G186" s="181">
        <v>31780</v>
      </c>
      <c r="H186" t="s">
        <v>116</v>
      </c>
      <c r="I186" t="s">
        <v>294</v>
      </c>
      <c r="J186" t="s">
        <v>24</v>
      </c>
      <c r="K186" t="s">
        <v>10</v>
      </c>
    </row>
    <row r="187" spans="1:11">
      <c r="A187" s="123">
        <v>252674</v>
      </c>
      <c r="B187" s="162">
        <v>45939</v>
      </c>
      <c r="C187" s="1" t="s">
        <v>292</v>
      </c>
      <c r="D187" s="128">
        <v>1</v>
      </c>
      <c r="E187" s="115" t="s">
        <v>295</v>
      </c>
      <c r="F187" s="132">
        <v>19068</v>
      </c>
      <c r="G187" s="181">
        <v>19068</v>
      </c>
      <c r="H187" t="s">
        <v>116</v>
      </c>
      <c r="I187" t="s">
        <v>294</v>
      </c>
      <c r="J187" t="s">
        <v>24</v>
      </c>
      <c r="K187" t="s">
        <v>10</v>
      </c>
    </row>
    <row r="188" spans="1:11">
      <c r="A188" s="123">
        <v>252675</v>
      </c>
      <c r="B188" s="162">
        <v>45943</v>
      </c>
      <c r="C188" s="1" t="s">
        <v>122</v>
      </c>
      <c r="D188" s="128">
        <v>2</v>
      </c>
      <c r="E188" s="115" t="s">
        <v>296</v>
      </c>
      <c r="F188" s="132">
        <v>1580</v>
      </c>
      <c r="G188" s="133">
        <v>3160</v>
      </c>
      <c r="H188" t="s">
        <v>26</v>
      </c>
      <c r="I188" t="s">
        <v>124</v>
      </c>
      <c r="J188" t="s">
        <v>24</v>
      </c>
      <c r="K188" t="s">
        <v>10</v>
      </c>
    </row>
    <row r="189" spans="1:11">
      <c r="A189" s="123">
        <v>252676</v>
      </c>
      <c r="B189" s="162">
        <v>45944</v>
      </c>
      <c r="C189" s="1" t="s">
        <v>89</v>
      </c>
      <c r="D189" s="128">
        <v>1</v>
      </c>
      <c r="E189" s="115" t="s">
        <v>297</v>
      </c>
      <c r="F189" s="132">
        <v>1450</v>
      </c>
      <c r="G189" s="133">
        <v>1450</v>
      </c>
      <c r="H189" t="s">
        <v>31</v>
      </c>
      <c r="J189" t="s">
        <v>24</v>
      </c>
      <c r="K189" t="s">
        <v>10</v>
      </c>
    </row>
    <row r="190" spans="1:11">
      <c r="A190" s="123">
        <v>252676</v>
      </c>
      <c r="B190" s="162">
        <v>45944</v>
      </c>
      <c r="C190" s="1" t="s">
        <v>89</v>
      </c>
      <c r="D190" s="128">
        <v>2</v>
      </c>
      <c r="E190" s="115" t="s">
        <v>298</v>
      </c>
      <c r="F190" s="132">
        <v>450</v>
      </c>
      <c r="G190" s="181">
        <v>900</v>
      </c>
      <c r="H190" t="s">
        <v>31</v>
      </c>
      <c r="J190" t="s">
        <v>24</v>
      </c>
      <c r="K190" t="s">
        <v>10</v>
      </c>
    </row>
    <row r="191" spans="1:11">
      <c r="A191" s="123">
        <v>252676</v>
      </c>
      <c r="B191" s="162">
        <v>45944</v>
      </c>
      <c r="C191" s="1" t="s">
        <v>89</v>
      </c>
      <c r="D191" s="128">
        <v>1</v>
      </c>
      <c r="E191" s="115" t="s">
        <v>254</v>
      </c>
      <c r="F191" s="132">
        <v>700</v>
      </c>
      <c r="G191" s="133">
        <v>700</v>
      </c>
      <c r="H191" t="s">
        <v>31</v>
      </c>
      <c r="J191" t="s">
        <v>24</v>
      </c>
      <c r="K191" t="s">
        <v>10</v>
      </c>
    </row>
    <row r="192" spans="1:11">
      <c r="A192" s="123">
        <v>252677</v>
      </c>
      <c r="B192" s="162">
        <v>45948</v>
      </c>
      <c r="C192" s="1" t="s">
        <v>89</v>
      </c>
      <c r="D192" s="128">
        <v>1</v>
      </c>
      <c r="E192" s="115" t="s">
        <v>299</v>
      </c>
      <c r="F192" s="132">
        <v>1750</v>
      </c>
      <c r="G192" s="181">
        <v>1750</v>
      </c>
      <c r="H192" t="s">
        <v>31</v>
      </c>
      <c r="J192" t="s">
        <v>24</v>
      </c>
      <c r="K192" t="s">
        <v>10</v>
      </c>
    </row>
    <row r="193" spans="1:11">
      <c r="A193" s="123">
        <v>252677</v>
      </c>
      <c r="B193" s="162">
        <v>45948</v>
      </c>
      <c r="C193" s="1" t="s">
        <v>89</v>
      </c>
      <c r="D193" s="128">
        <v>1</v>
      </c>
      <c r="E193" s="115" t="s">
        <v>254</v>
      </c>
      <c r="F193" s="132">
        <v>600</v>
      </c>
      <c r="G193" s="181">
        <v>600</v>
      </c>
      <c r="H193" t="s">
        <v>31</v>
      </c>
      <c r="J193" t="s">
        <v>24</v>
      </c>
      <c r="K193" t="s">
        <v>10</v>
      </c>
    </row>
    <row r="194" spans="1:11">
      <c r="A194" s="123">
        <v>252678</v>
      </c>
      <c r="B194" s="162">
        <v>45951</v>
      </c>
      <c r="C194" s="1" t="s">
        <v>217</v>
      </c>
      <c r="D194" s="128">
        <v>3</v>
      </c>
      <c r="E194" s="115" t="s">
        <v>300</v>
      </c>
      <c r="F194" s="132">
        <v>500</v>
      </c>
      <c r="G194" s="133">
        <v>1500</v>
      </c>
      <c r="H194" t="s">
        <v>31</v>
      </c>
      <c r="J194" t="s">
        <v>24</v>
      </c>
      <c r="K194" t="s">
        <v>10</v>
      </c>
    </row>
    <row r="195" spans="1:11">
      <c r="A195" s="123">
        <v>252678</v>
      </c>
      <c r="B195" s="162">
        <v>45951</v>
      </c>
      <c r="C195" s="1" t="s">
        <v>217</v>
      </c>
      <c r="D195" s="128">
        <v>1</v>
      </c>
      <c r="E195" s="115" t="s">
        <v>301</v>
      </c>
      <c r="F195" s="132">
        <v>1100</v>
      </c>
      <c r="G195" s="133">
        <v>1100</v>
      </c>
      <c r="H195" t="s">
        <v>31</v>
      </c>
      <c r="J195" t="s">
        <v>24</v>
      </c>
      <c r="K195" t="s">
        <v>10</v>
      </c>
    </row>
    <row r="196" spans="1:11">
      <c r="A196" s="123">
        <v>252679</v>
      </c>
      <c r="B196" s="162">
        <v>45954</v>
      </c>
      <c r="C196" s="1" t="s">
        <v>278</v>
      </c>
      <c r="D196" s="128">
        <v>3</v>
      </c>
      <c r="E196" s="115" t="s">
        <v>302</v>
      </c>
      <c r="F196" s="132">
        <v>840</v>
      </c>
      <c r="G196" s="181">
        <v>2520</v>
      </c>
      <c r="H196" t="s">
        <v>31</v>
      </c>
      <c r="J196" t="s">
        <v>24</v>
      </c>
      <c r="K196" t="s">
        <v>10</v>
      </c>
    </row>
    <row r="197" spans="1:11">
      <c r="A197" s="123">
        <v>252679</v>
      </c>
      <c r="B197" s="162">
        <v>45954</v>
      </c>
      <c r="C197" s="1" t="s">
        <v>278</v>
      </c>
      <c r="D197" s="128">
        <v>1</v>
      </c>
      <c r="E197" s="115" t="s">
        <v>303</v>
      </c>
      <c r="F197" s="132">
        <v>440</v>
      </c>
      <c r="G197" s="181">
        <v>440</v>
      </c>
      <c r="H197" t="s">
        <v>31</v>
      </c>
      <c r="J197" t="s">
        <v>24</v>
      </c>
      <c r="K197" t="s">
        <v>10</v>
      </c>
    </row>
    <row r="198" spans="1:11">
      <c r="A198" s="123">
        <v>252679</v>
      </c>
      <c r="B198" s="162">
        <v>45954</v>
      </c>
      <c r="C198" s="1" t="s">
        <v>278</v>
      </c>
      <c r="D198" s="128">
        <v>3</v>
      </c>
      <c r="E198" s="115" t="s">
        <v>304</v>
      </c>
      <c r="F198" s="132">
        <v>380</v>
      </c>
      <c r="G198" s="181">
        <v>1140</v>
      </c>
      <c r="H198" t="s">
        <v>31</v>
      </c>
      <c r="J198" t="s">
        <v>24</v>
      </c>
      <c r="K198" t="s">
        <v>10</v>
      </c>
    </row>
    <row r="199" spans="1:11">
      <c r="A199" s="123">
        <v>252679</v>
      </c>
      <c r="B199" s="162">
        <v>45954</v>
      </c>
      <c r="C199" s="1" t="s">
        <v>278</v>
      </c>
      <c r="D199" s="128">
        <v>2</v>
      </c>
      <c r="E199" s="115" t="s">
        <v>305</v>
      </c>
      <c r="F199" s="132">
        <v>450</v>
      </c>
      <c r="G199" s="181">
        <v>900</v>
      </c>
      <c r="H199" t="s">
        <v>31</v>
      </c>
      <c r="J199" t="s">
        <v>24</v>
      </c>
      <c r="K199" t="s">
        <v>10</v>
      </c>
    </row>
    <row r="200" spans="1:11">
      <c r="A200" s="123">
        <v>252680</v>
      </c>
      <c r="B200" s="162">
        <v>45960</v>
      </c>
      <c r="C200" s="1" t="s">
        <v>89</v>
      </c>
      <c r="D200" s="128">
        <v>1</v>
      </c>
      <c r="E200" s="115" t="s">
        <v>306</v>
      </c>
      <c r="F200" s="132">
        <v>2450</v>
      </c>
      <c r="G200" s="133">
        <v>2450</v>
      </c>
      <c r="H200" t="s">
        <v>31</v>
      </c>
      <c r="J200" t="s">
        <v>24</v>
      </c>
      <c r="K200" t="s">
        <v>10</v>
      </c>
    </row>
    <row r="201" spans="1:11" ht="26.25">
      <c r="A201" s="123">
        <v>252681</v>
      </c>
      <c r="B201" s="162">
        <v>45966</v>
      </c>
      <c r="C201" s="1" t="s">
        <v>89</v>
      </c>
      <c r="D201" s="128">
        <v>1</v>
      </c>
      <c r="E201" s="178" t="s">
        <v>307</v>
      </c>
      <c r="F201" s="132">
        <v>2350</v>
      </c>
      <c r="G201" s="181">
        <v>2350</v>
      </c>
      <c r="H201" t="s">
        <v>31</v>
      </c>
      <c r="J201" t="s">
        <v>24</v>
      </c>
      <c r="K201" t="s">
        <v>10</v>
      </c>
    </row>
    <row r="202" spans="1:11">
      <c r="A202" s="123">
        <v>252682</v>
      </c>
      <c r="B202" s="162">
        <v>45967</v>
      </c>
      <c r="C202" s="1" t="s">
        <v>141</v>
      </c>
      <c r="D202" s="128">
        <v>1</v>
      </c>
      <c r="E202" s="115" t="s">
        <v>308</v>
      </c>
      <c r="F202" s="132">
        <v>2040</v>
      </c>
      <c r="G202" s="181">
        <v>2040</v>
      </c>
      <c r="H202" t="s">
        <v>26</v>
      </c>
      <c r="I202" t="s">
        <v>99</v>
      </c>
      <c r="J202" t="s">
        <v>24</v>
      </c>
      <c r="K202" t="s">
        <v>10</v>
      </c>
    </row>
    <row r="203" spans="1:11">
      <c r="A203" s="123">
        <v>252682</v>
      </c>
      <c r="B203" s="162">
        <v>45967</v>
      </c>
      <c r="C203" s="1" t="s">
        <v>141</v>
      </c>
      <c r="D203" s="128">
        <v>1</v>
      </c>
      <c r="E203" s="115" t="s">
        <v>309</v>
      </c>
      <c r="F203" s="132">
        <v>676</v>
      </c>
      <c r="G203" s="181">
        <v>676</v>
      </c>
      <c r="H203" t="s">
        <v>26</v>
      </c>
      <c r="I203" t="s">
        <v>99</v>
      </c>
      <c r="J203" t="s">
        <v>24</v>
      </c>
      <c r="K203" t="s">
        <v>10</v>
      </c>
    </row>
    <row r="204" spans="1:11">
      <c r="A204" s="123">
        <v>252683</v>
      </c>
      <c r="B204" s="162">
        <v>45968</v>
      </c>
      <c r="C204" s="1" t="s">
        <v>217</v>
      </c>
      <c r="D204" s="128">
        <v>1</v>
      </c>
      <c r="E204" s="115" t="s">
        <v>310</v>
      </c>
      <c r="F204" s="132">
        <v>8700</v>
      </c>
      <c r="G204" s="133">
        <v>8700</v>
      </c>
      <c r="H204" t="s">
        <v>31</v>
      </c>
      <c r="J204" t="s">
        <v>24</v>
      </c>
      <c r="K204" t="s">
        <v>10</v>
      </c>
    </row>
    <row r="205" spans="1:11">
      <c r="A205" s="123">
        <v>252684</v>
      </c>
      <c r="B205" s="162">
        <v>45969</v>
      </c>
      <c r="C205" s="1" t="s">
        <v>183</v>
      </c>
      <c r="D205" s="128">
        <v>1</v>
      </c>
      <c r="E205" s="115" t="s">
        <v>311</v>
      </c>
      <c r="F205" s="132">
        <v>2900</v>
      </c>
      <c r="G205" s="133">
        <v>2900</v>
      </c>
      <c r="H205" t="s">
        <v>31</v>
      </c>
      <c r="J205" t="s">
        <v>24</v>
      </c>
      <c r="K205" t="s">
        <v>10</v>
      </c>
    </row>
    <row r="206" spans="1:11">
      <c r="A206" s="123">
        <v>252684</v>
      </c>
      <c r="B206" s="162">
        <v>45969</v>
      </c>
      <c r="C206" s="1" t="s">
        <v>183</v>
      </c>
      <c r="D206" s="128">
        <v>1</v>
      </c>
      <c r="E206" s="115" t="s">
        <v>312</v>
      </c>
      <c r="F206" s="132">
        <v>980</v>
      </c>
      <c r="G206" s="133">
        <v>980</v>
      </c>
      <c r="H206" t="s">
        <v>31</v>
      </c>
      <c r="J206" t="s">
        <v>24</v>
      </c>
      <c r="K206" t="s">
        <v>10</v>
      </c>
    </row>
    <row r="207" spans="1:11">
      <c r="A207" s="123">
        <v>252687</v>
      </c>
      <c r="B207" s="162">
        <v>45976</v>
      </c>
      <c r="C207" s="1" t="s">
        <v>137</v>
      </c>
      <c r="D207" s="128">
        <v>2</v>
      </c>
      <c r="E207" s="115" t="s">
        <v>313</v>
      </c>
      <c r="F207" s="132">
        <v>694</v>
      </c>
      <c r="G207" s="133">
        <v>1388</v>
      </c>
      <c r="H207" t="s">
        <v>31</v>
      </c>
      <c r="J207" t="s">
        <v>24</v>
      </c>
      <c r="K207" t="s">
        <v>10</v>
      </c>
    </row>
    <row r="208" spans="1:11">
      <c r="A208" s="123">
        <v>252688</v>
      </c>
      <c r="B208" s="162">
        <v>45987</v>
      </c>
      <c r="C208" s="1" t="s">
        <v>135</v>
      </c>
      <c r="D208" s="128">
        <v>1</v>
      </c>
      <c r="E208" s="115" t="s">
        <v>314</v>
      </c>
      <c r="F208" s="132">
        <v>650</v>
      </c>
      <c r="G208" s="181">
        <v>650</v>
      </c>
      <c r="H208" t="s">
        <v>31</v>
      </c>
      <c r="J208" t="s">
        <v>24</v>
      </c>
      <c r="K208" t="s">
        <v>10</v>
      </c>
    </row>
    <row r="209" spans="1:11">
      <c r="A209" s="123">
        <v>252688</v>
      </c>
      <c r="B209" s="162">
        <v>45987</v>
      </c>
      <c r="C209" s="1" t="s">
        <v>135</v>
      </c>
      <c r="D209" s="128">
        <v>1</v>
      </c>
      <c r="E209" s="115" t="s">
        <v>315</v>
      </c>
      <c r="F209" s="132">
        <v>600</v>
      </c>
      <c r="G209" s="181">
        <v>600</v>
      </c>
      <c r="H209" t="s">
        <v>31</v>
      </c>
      <c r="J209" t="s">
        <v>24</v>
      </c>
      <c r="K209" t="s">
        <v>10</v>
      </c>
    </row>
    <row r="210" spans="1:11">
      <c r="A210" s="123">
        <v>252689</v>
      </c>
      <c r="B210" s="162">
        <v>45987</v>
      </c>
      <c r="C210" s="1" t="s">
        <v>316</v>
      </c>
      <c r="D210" s="128">
        <v>1</v>
      </c>
      <c r="E210" s="115" t="s">
        <v>317</v>
      </c>
      <c r="F210" s="132">
        <v>3900</v>
      </c>
      <c r="G210" s="181">
        <v>3900</v>
      </c>
      <c r="H210" t="s">
        <v>26</v>
      </c>
      <c r="J210" t="s">
        <v>24</v>
      </c>
      <c r="K210" t="s">
        <v>10</v>
      </c>
    </row>
    <row r="211" spans="1:11">
      <c r="A211" s="123">
        <v>252689</v>
      </c>
      <c r="B211" s="162">
        <v>45987</v>
      </c>
      <c r="C211" s="1" t="s">
        <v>316</v>
      </c>
      <c r="D211" s="128">
        <v>2</v>
      </c>
      <c r="E211" s="115" t="s">
        <v>318</v>
      </c>
      <c r="F211" s="132">
        <v>2960</v>
      </c>
      <c r="G211" s="181">
        <v>5920</v>
      </c>
      <c r="H211" t="s">
        <v>26</v>
      </c>
      <c r="J211" t="s">
        <v>24</v>
      </c>
      <c r="K211" t="s">
        <v>10</v>
      </c>
    </row>
    <row r="212" spans="1:11">
      <c r="A212" s="123">
        <v>252689</v>
      </c>
      <c r="B212" s="162">
        <v>45987</v>
      </c>
      <c r="C212" s="1" t="s">
        <v>316</v>
      </c>
      <c r="D212" s="128">
        <v>1</v>
      </c>
      <c r="E212" s="115" t="s">
        <v>319</v>
      </c>
      <c r="F212" s="132">
        <v>2315</v>
      </c>
      <c r="G212" s="181">
        <v>2315</v>
      </c>
      <c r="H212" t="s">
        <v>26</v>
      </c>
      <c r="J212" t="s">
        <v>24</v>
      </c>
      <c r="K212" t="s">
        <v>10</v>
      </c>
    </row>
    <row r="213" spans="1:11">
      <c r="A213" s="123">
        <v>252689</v>
      </c>
      <c r="B213" s="162">
        <v>45987</v>
      </c>
      <c r="C213" s="1" t="s">
        <v>316</v>
      </c>
      <c r="D213" s="128">
        <v>1</v>
      </c>
      <c r="E213" s="115" t="s">
        <v>320</v>
      </c>
      <c r="F213" s="132">
        <v>2950</v>
      </c>
      <c r="G213" s="181">
        <v>2950</v>
      </c>
      <c r="H213" t="s">
        <v>26</v>
      </c>
      <c r="J213" t="s">
        <v>24</v>
      </c>
      <c r="K213" t="s">
        <v>10</v>
      </c>
    </row>
    <row r="214" spans="1:11">
      <c r="A214" s="123">
        <v>252689</v>
      </c>
      <c r="B214" s="162">
        <v>45987</v>
      </c>
      <c r="C214" s="1" t="s">
        <v>316</v>
      </c>
      <c r="D214" s="128">
        <v>1</v>
      </c>
      <c r="E214" s="115" t="s">
        <v>321</v>
      </c>
      <c r="F214" s="132">
        <v>5766</v>
      </c>
      <c r="G214" s="181">
        <v>5766</v>
      </c>
      <c r="H214" t="s">
        <v>26</v>
      </c>
      <c r="J214" t="s">
        <v>24</v>
      </c>
      <c r="K214" t="s">
        <v>10</v>
      </c>
    </row>
    <row r="215" spans="1:11">
      <c r="A215" s="123">
        <v>252689</v>
      </c>
      <c r="B215" s="162">
        <v>45987</v>
      </c>
      <c r="C215" s="1" t="s">
        <v>316</v>
      </c>
      <c r="D215" s="128">
        <v>20</v>
      </c>
      <c r="E215" s="115" t="s">
        <v>322</v>
      </c>
      <c r="F215" s="132">
        <v>250</v>
      </c>
      <c r="G215" s="133">
        <v>5000</v>
      </c>
      <c r="H215" t="s">
        <v>26</v>
      </c>
      <c r="J215" t="s">
        <v>24</v>
      </c>
      <c r="K215" t="s">
        <v>10</v>
      </c>
    </row>
    <row r="216" spans="1:11">
      <c r="A216" s="123">
        <v>252689</v>
      </c>
      <c r="B216" s="162">
        <v>45987</v>
      </c>
      <c r="C216" s="1" t="s">
        <v>316</v>
      </c>
      <c r="D216" s="128">
        <v>36</v>
      </c>
      <c r="E216" s="115" t="s">
        <v>323</v>
      </c>
      <c r="F216" s="132">
        <v>38</v>
      </c>
      <c r="G216" s="133">
        <v>1368</v>
      </c>
      <c r="H216" t="s">
        <v>26</v>
      </c>
      <c r="J216" t="s">
        <v>24</v>
      </c>
      <c r="K216" t="s">
        <v>10</v>
      </c>
    </row>
    <row r="217" spans="1:11">
      <c r="A217" s="123">
        <v>252689</v>
      </c>
      <c r="B217" s="162">
        <v>45987</v>
      </c>
      <c r="C217" s="1" t="s">
        <v>316</v>
      </c>
      <c r="D217" s="128">
        <v>1</v>
      </c>
      <c r="E217" s="115" t="s">
        <v>196</v>
      </c>
      <c r="F217" s="132">
        <v>300</v>
      </c>
      <c r="G217" s="133">
        <v>300</v>
      </c>
      <c r="H217" t="s">
        <v>26</v>
      </c>
      <c r="J217" t="s">
        <v>24</v>
      </c>
      <c r="K217" t="s">
        <v>10</v>
      </c>
    </row>
    <row r="218" spans="1:11">
      <c r="A218" s="123">
        <v>252689</v>
      </c>
      <c r="B218" s="162">
        <v>45987</v>
      </c>
      <c r="C218" s="1" t="s">
        <v>316</v>
      </c>
      <c r="D218" s="128">
        <v>1</v>
      </c>
      <c r="E218" s="115" t="s">
        <v>324</v>
      </c>
      <c r="F218" s="132">
        <v>3460</v>
      </c>
      <c r="G218" s="133">
        <v>3460</v>
      </c>
      <c r="H218" t="s">
        <v>26</v>
      </c>
      <c r="J218" t="s">
        <v>24</v>
      </c>
      <c r="K218" t="s">
        <v>10</v>
      </c>
    </row>
    <row r="219" spans="1:11">
      <c r="A219" s="123">
        <v>252689</v>
      </c>
      <c r="B219" s="162">
        <v>45987</v>
      </c>
      <c r="C219" s="1" t="s">
        <v>316</v>
      </c>
      <c r="D219" s="128">
        <v>4</v>
      </c>
      <c r="E219" s="115" t="s">
        <v>325</v>
      </c>
      <c r="F219" s="132">
        <v>55</v>
      </c>
      <c r="G219" s="133">
        <v>220</v>
      </c>
      <c r="H219" t="s">
        <v>26</v>
      </c>
      <c r="J219" t="s">
        <v>24</v>
      </c>
      <c r="K219" t="s">
        <v>10</v>
      </c>
    </row>
    <row r="220" spans="1:11">
      <c r="A220" s="123">
        <v>252689</v>
      </c>
      <c r="B220" s="162">
        <v>45987</v>
      </c>
      <c r="C220" s="1" t="s">
        <v>316</v>
      </c>
      <c r="D220" s="128">
        <v>4</v>
      </c>
      <c r="E220" s="115" t="s">
        <v>326</v>
      </c>
      <c r="F220" s="132">
        <v>350</v>
      </c>
      <c r="G220" s="133">
        <v>1400</v>
      </c>
      <c r="H220" t="s">
        <v>26</v>
      </c>
      <c r="J220" t="s">
        <v>24</v>
      </c>
      <c r="K220" t="s">
        <v>10</v>
      </c>
    </row>
    <row r="221" spans="1:11">
      <c r="A221" s="123">
        <v>252689</v>
      </c>
      <c r="B221" s="162">
        <v>45987</v>
      </c>
      <c r="C221" s="1" t="s">
        <v>316</v>
      </c>
      <c r="D221" s="128">
        <v>66</v>
      </c>
      <c r="E221" s="115" t="s">
        <v>327</v>
      </c>
      <c r="F221" s="132">
        <v>38</v>
      </c>
      <c r="G221" s="133">
        <v>2508</v>
      </c>
      <c r="H221" t="s">
        <v>26</v>
      </c>
      <c r="J221" t="s">
        <v>24</v>
      </c>
      <c r="K221" t="s">
        <v>10</v>
      </c>
    </row>
    <row r="222" spans="1:11">
      <c r="A222" s="123">
        <v>252689</v>
      </c>
      <c r="B222" s="162">
        <v>45987</v>
      </c>
      <c r="C222" s="1" t="s">
        <v>316</v>
      </c>
      <c r="D222" s="128">
        <v>1</v>
      </c>
      <c r="E222" s="115" t="s">
        <v>328</v>
      </c>
      <c r="F222" s="132">
        <v>1670</v>
      </c>
      <c r="G222" s="181">
        <v>1670</v>
      </c>
      <c r="H222" t="s">
        <v>26</v>
      </c>
      <c r="J222" t="s">
        <v>24</v>
      </c>
      <c r="K222" t="s">
        <v>10</v>
      </c>
    </row>
    <row r="223" spans="1:11">
      <c r="A223" s="123">
        <v>252689</v>
      </c>
      <c r="B223" s="162">
        <v>45987</v>
      </c>
      <c r="C223" s="1" t="s">
        <v>316</v>
      </c>
      <c r="D223" s="128">
        <v>20</v>
      </c>
      <c r="E223" s="115" t="s">
        <v>111</v>
      </c>
      <c r="F223" s="132">
        <v>23</v>
      </c>
      <c r="G223" s="181">
        <v>460</v>
      </c>
      <c r="H223" t="s">
        <v>26</v>
      </c>
      <c r="J223" t="s">
        <v>24</v>
      </c>
      <c r="K223" t="s">
        <v>10</v>
      </c>
    </row>
    <row r="224" spans="1:11">
      <c r="A224" s="123">
        <v>252690</v>
      </c>
      <c r="B224" s="162">
        <v>45987</v>
      </c>
      <c r="C224" s="1" t="s">
        <v>217</v>
      </c>
      <c r="D224" s="128">
        <v>2</v>
      </c>
      <c r="E224" s="115" t="s">
        <v>329</v>
      </c>
      <c r="F224" s="132">
        <v>2450</v>
      </c>
      <c r="G224" s="133">
        <v>4900</v>
      </c>
      <c r="H224" t="s">
        <v>31</v>
      </c>
      <c r="J224" t="s">
        <v>24</v>
      </c>
      <c r="K224" t="s">
        <v>10</v>
      </c>
    </row>
    <row r="225" spans="1:11">
      <c r="A225" s="123">
        <v>252691</v>
      </c>
      <c r="B225" s="162">
        <v>45993</v>
      </c>
      <c r="C225" s="1" t="s">
        <v>122</v>
      </c>
      <c r="D225" s="128">
        <v>1</v>
      </c>
      <c r="E225" s="115" t="s">
        <v>330</v>
      </c>
      <c r="F225" s="132">
        <v>4881</v>
      </c>
      <c r="G225" s="181">
        <v>4881</v>
      </c>
      <c r="H225" t="s">
        <v>26</v>
      </c>
      <c r="I225" t="s">
        <v>124</v>
      </c>
      <c r="J225" t="s">
        <v>24</v>
      </c>
      <c r="K225" t="s">
        <v>10</v>
      </c>
    </row>
    <row r="226" spans="1:11">
      <c r="A226" s="123">
        <v>252691</v>
      </c>
      <c r="B226" s="162">
        <v>45993</v>
      </c>
      <c r="C226" s="1" t="s">
        <v>122</v>
      </c>
      <c r="D226" s="128">
        <v>2</v>
      </c>
      <c r="E226" s="115" t="s">
        <v>331</v>
      </c>
      <c r="F226" s="132">
        <v>805</v>
      </c>
      <c r="G226" s="181">
        <v>1610</v>
      </c>
      <c r="H226" t="s">
        <v>26</v>
      </c>
      <c r="I226" t="s">
        <v>124</v>
      </c>
      <c r="J226" t="s">
        <v>24</v>
      </c>
      <c r="K226" t="s">
        <v>10</v>
      </c>
    </row>
    <row r="227" spans="1:11">
      <c r="A227" s="123">
        <v>252691</v>
      </c>
      <c r="B227" s="162">
        <v>45993</v>
      </c>
      <c r="C227" s="1" t="s">
        <v>122</v>
      </c>
      <c r="D227" s="128">
        <v>2</v>
      </c>
      <c r="E227" s="115" t="s">
        <v>332</v>
      </c>
      <c r="F227" s="132">
        <v>686</v>
      </c>
      <c r="G227" s="181">
        <v>1372</v>
      </c>
      <c r="H227" t="s">
        <v>26</v>
      </c>
      <c r="I227" t="s">
        <v>124</v>
      </c>
      <c r="J227" t="s">
        <v>24</v>
      </c>
      <c r="K227" t="s">
        <v>10</v>
      </c>
    </row>
    <row r="228" spans="1:11">
      <c r="A228" s="123">
        <v>252691</v>
      </c>
      <c r="B228" s="162">
        <v>45993</v>
      </c>
      <c r="C228" s="1" t="s">
        <v>122</v>
      </c>
      <c r="D228" s="128">
        <v>48</v>
      </c>
      <c r="E228" s="115" t="s">
        <v>333</v>
      </c>
      <c r="F228" s="132">
        <v>61.45</v>
      </c>
      <c r="G228" s="181">
        <v>2949.6000000000004</v>
      </c>
      <c r="H228" t="s">
        <v>26</v>
      </c>
      <c r="I228" t="s">
        <v>124</v>
      </c>
      <c r="J228" t="s">
        <v>24</v>
      </c>
      <c r="K228" t="s">
        <v>10</v>
      </c>
    </row>
    <row r="229" spans="1:11">
      <c r="A229" s="123">
        <v>252691</v>
      </c>
      <c r="B229" s="162">
        <v>45993</v>
      </c>
      <c r="C229" s="1" t="s">
        <v>122</v>
      </c>
      <c r="D229" s="128">
        <v>9</v>
      </c>
      <c r="E229" s="115" t="s">
        <v>334</v>
      </c>
      <c r="F229" s="132">
        <v>254.24</v>
      </c>
      <c r="G229" s="181">
        <v>2288.16</v>
      </c>
      <c r="H229" t="s">
        <v>26</v>
      </c>
      <c r="I229" t="s">
        <v>124</v>
      </c>
      <c r="J229" t="s">
        <v>24</v>
      </c>
      <c r="K229" t="s">
        <v>10</v>
      </c>
    </row>
    <row r="230" spans="1:11">
      <c r="A230" s="123">
        <v>252691</v>
      </c>
      <c r="B230" s="162">
        <v>45993</v>
      </c>
      <c r="C230" s="1" t="s">
        <v>122</v>
      </c>
      <c r="D230" s="128">
        <v>10</v>
      </c>
      <c r="E230" s="115" t="s">
        <v>335</v>
      </c>
      <c r="F230" s="132">
        <v>59.32</v>
      </c>
      <c r="G230" s="181">
        <v>593.20000000000005</v>
      </c>
      <c r="H230" t="s">
        <v>26</v>
      </c>
      <c r="I230" t="s">
        <v>124</v>
      </c>
      <c r="J230" t="s">
        <v>24</v>
      </c>
      <c r="K230" t="s">
        <v>10</v>
      </c>
    </row>
    <row r="231" spans="1:11">
      <c r="A231" s="123">
        <v>252692</v>
      </c>
      <c r="B231" s="162">
        <v>45993</v>
      </c>
      <c r="C231" s="1" t="s">
        <v>135</v>
      </c>
      <c r="D231" s="128">
        <v>2</v>
      </c>
      <c r="E231" s="115" t="s">
        <v>336</v>
      </c>
      <c r="F231" s="132">
        <v>250</v>
      </c>
      <c r="G231" s="181">
        <v>500</v>
      </c>
      <c r="H231" t="s">
        <v>31</v>
      </c>
      <c r="J231" t="s">
        <v>24</v>
      </c>
      <c r="K231" t="s">
        <v>10</v>
      </c>
    </row>
    <row r="232" spans="1:11">
      <c r="A232" s="123">
        <v>252693</v>
      </c>
      <c r="B232" s="162">
        <v>45993</v>
      </c>
      <c r="C232" s="1" t="s">
        <v>135</v>
      </c>
      <c r="D232" s="128">
        <v>2</v>
      </c>
      <c r="E232" s="115" t="s">
        <v>337</v>
      </c>
      <c r="F232" s="132">
        <v>250</v>
      </c>
      <c r="G232" s="181">
        <v>500</v>
      </c>
      <c r="H232" t="s">
        <v>31</v>
      </c>
      <c r="J232" t="s">
        <v>24</v>
      </c>
      <c r="K232" t="s">
        <v>10</v>
      </c>
    </row>
    <row r="233" spans="1:11">
      <c r="A233" s="123">
        <v>252694</v>
      </c>
      <c r="B233" s="162">
        <v>45994</v>
      </c>
      <c r="C233" s="1" t="s">
        <v>135</v>
      </c>
      <c r="D233" s="128">
        <v>2</v>
      </c>
      <c r="E233" s="115" t="s">
        <v>338</v>
      </c>
      <c r="F233" s="132">
        <v>250</v>
      </c>
      <c r="G233" s="133">
        <v>500</v>
      </c>
      <c r="H233" t="s">
        <v>31</v>
      </c>
      <c r="J233" t="s">
        <v>24</v>
      </c>
      <c r="K233" t="s">
        <v>10</v>
      </c>
    </row>
    <row r="234" spans="1:11">
      <c r="A234" s="123">
        <v>252695</v>
      </c>
      <c r="B234" s="162">
        <v>45994</v>
      </c>
      <c r="C234" s="1" t="s">
        <v>135</v>
      </c>
      <c r="D234" s="128">
        <v>2</v>
      </c>
      <c r="E234" s="115" t="s">
        <v>339</v>
      </c>
      <c r="F234" s="132">
        <v>250</v>
      </c>
      <c r="G234" s="133">
        <v>500</v>
      </c>
      <c r="H234" t="s">
        <v>31</v>
      </c>
      <c r="J234" t="s">
        <v>24</v>
      </c>
      <c r="K234" t="s">
        <v>10</v>
      </c>
    </row>
    <row r="235" spans="1:11">
      <c r="A235" s="123">
        <v>252696</v>
      </c>
      <c r="B235" s="162">
        <v>45994</v>
      </c>
      <c r="C235" s="1" t="s">
        <v>135</v>
      </c>
      <c r="D235" s="128">
        <v>2</v>
      </c>
      <c r="E235" s="115" t="s">
        <v>339</v>
      </c>
      <c r="F235" s="132">
        <v>250</v>
      </c>
      <c r="G235" s="133">
        <v>500</v>
      </c>
      <c r="H235" t="s">
        <v>31</v>
      </c>
      <c r="J235" t="s">
        <v>24</v>
      </c>
      <c r="K235" t="s">
        <v>10</v>
      </c>
    </row>
    <row r="236" spans="1:11">
      <c r="A236" s="123">
        <v>252697</v>
      </c>
      <c r="B236" s="162">
        <v>45994</v>
      </c>
      <c r="C236" s="1" t="s">
        <v>135</v>
      </c>
      <c r="D236" s="128">
        <v>2</v>
      </c>
      <c r="E236" s="115" t="s">
        <v>340</v>
      </c>
      <c r="F236" s="132">
        <v>250</v>
      </c>
      <c r="G236" s="181">
        <v>500</v>
      </c>
      <c r="H236" t="s">
        <v>31</v>
      </c>
      <c r="J236" t="s">
        <v>24</v>
      </c>
      <c r="K236" t="s">
        <v>10</v>
      </c>
    </row>
    <row r="237" spans="1:11">
      <c r="A237" s="123">
        <v>252698</v>
      </c>
      <c r="B237" s="162">
        <v>45995</v>
      </c>
      <c r="C237" s="1" t="s">
        <v>135</v>
      </c>
      <c r="D237" s="128">
        <v>2</v>
      </c>
      <c r="E237" s="115" t="s">
        <v>341</v>
      </c>
      <c r="F237" s="132">
        <v>250</v>
      </c>
      <c r="G237" s="133">
        <v>500</v>
      </c>
      <c r="H237" t="s">
        <v>31</v>
      </c>
      <c r="J237" t="s">
        <v>24</v>
      </c>
      <c r="K237" t="s">
        <v>10</v>
      </c>
    </row>
    <row r="238" spans="1:11">
      <c r="A238" s="123">
        <v>252699</v>
      </c>
      <c r="B238" s="162">
        <v>45995</v>
      </c>
      <c r="C238" s="1" t="s">
        <v>135</v>
      </c>
      <c r="D238" s="128">
        <v>2</v>
      </c>
      <c r="E238" s="115" t="s">
        <v>340</v>
      </c>
      <c r="F238" s="132">
        <v>250</v>
      </c>
      <c r="G238" s="181">
        <v>500</v>
      </c>
      <c r="H238" t="s">
        <v>31</v>
      </c>
      <c r="J238" t="s">
        <v>24</v>
      </c>
      <c r="K238" t="s">
        <v>10</v>
      </c>
    </row>
    <row r="239" spans="1:11">
      <c r="A239" s="123">
        <v>252700</v>
      </c>
      <c r="B239" s="162">
        <v>45996</v>
      </c>
      <c r="C239" s="1" t="s">
        <v>135</v>
      </c>
      <c r="D239" s="128">
        <v>2</v>
      </c>
      <c r="E239" s="115" t="s">
        <v>342</v>
      </c>
      <c r="F239" s="132">
        <v>250</v>
      </c>
      <c r="G239" s="181">
        <v>500</v>
      </c>
      <c r="H239" t="s">
        <v>31</v>
      </c>
      <c r="J239" t="s">
        <v>24</v>
      </c>
      <c r="K239" t="s">
        <v>10</v>
      </c>
    </row>
    <row r="240" spans="1:11">
      <c r="A240" s="123">
        <v>252701</v>
      </c>
      <c r="B240" s="162">
        <v>45996</v>
      </c>
      <c r="C240" s="1" t="s">
        <v>135</v>
      </c>
      <c r="D240" s="128">
        <v>2</v>
      </c>
      <c r="E240" s="115" t="s">
        <v>343</v>
      </c>
      <c r="F240" s="132">
        <v>250</v>
      </c>
      <c r="G240" s="181">
        <v>500</v>
      </c>
      <c r="H240" t="s">
        <v>31</v>
      </c>
      <c r="J240" t="s">
        <v>24</v>
      </c>
      <c r="K240" t="s">
        <v>10</v>
      </c>
    </row>
    <row r="241" spans="1:11">
      <c r="A241" s="123">
        <v>252702</v>
      </c>
      <c r="B241" s="162">
        <v>45997</v>
      </c>
      <c r="C241" s="1" t="s">
        <v>135</v>
      </c>
      <c r="D241" s="128">
        <v>2</v>
      </c>
      <c r="E241" s="115" t="s">
        <v>343</v>
      </c>
      <c r="F241" s="132">
        <v>250</v>
      </c>
      <c r="G241" s="181">
        <v>500</v>
      </c>
      <c r="H241" t="s">
        <v>31</v>
      </c>
      <c r="J241" t="s">
        <v>24</v>
      </c>
      <c r="K241" t="s">
        <v>10</v>
      </c>
    </row>
    <row r="242" spans="1:11">
      <c r="A242" s="123">
        <v>252703</v>
      </c>
      <c r="B242" s="162">
        <v>45997</v>
      </c>
      <c r="C242" s="1" t="s">
        <v>135</v>
      </c>
      <c r="D242" s="128">
        <v>2</v>
      </c>
      <c r="E242" s="115" t="s">
        <v>344</v>
      </c>
      <c r="F242" s="132">
        <v>250</v>
      </c>
      <c r="G242" s="181">
        <v>500</v>
      </c>
      <c r="H242" t="s">
        <v>31</v>
      </c>
      <c r="J242" t="s">
        <v>24</v>
      </c>
      <c r="K242" t="s">
        <v>10</v>
      </c>
    </row>
    <row r="243" spans="1:11">
      <c r="A243" s="123">
        <v>252704</v>
      </c>
      <c r="B243" s="162">
        <v>45999</v>
      </c>
      <c r="C243" s="1" t="s">
        <v>135</v>
      </c>
      <c r="D243" s="128">
        <v>1</v>
      </c>
      <c r="E243" s="115" t="s">
        <v>345</v>
      </c>
      <c r="F243" s="132">
        <v>490</v>
      </c>
      <c r="G243" s="181">
        <v>490</v>
      </c>
      <c r="H243" t="s">
        <v>31</v>
      </c>
      <c r="J243" t="s">
        <v>24</v>
      </c>
      <c r="K243" t="s">
        <v>10</v>
      </c>
    </row>
    <row r="244" spans="1:11">
      <c r="A244" s="123">
        <v>252706</v>
      </c>
      <c r="B244" s="162">
        <v>45999</v>
      </c>
      <c r="C244" s="1" t="s">
        <v>89</v>
      </c>
      <c r="D244" s="128">
        <v>2</v>
      </c>
      <c r="E244" s="115" t="s">
        <v>346</v>
      </c>
      <c r="F244" s="132">
        <v>400</v>
      </c>
      <c r="G244" s="181">
        <v>800</v>
      </c>
      <c r="H244" t="s">
        <v>31</v>
      </c>
      <c r="J244" t="s">
        <v>24</v>
      </c>
      <c r="K244" t="s">
        <v>10</v>
      </c>
    </row>
    <row r="245" spans="1:11">
      <c r="A245" s="123">
        <v>252715</v>
      </c>
      <c r="B245" s="162">
        <v>46009</v>
      </c>
      <c r="C245" s="1" t="s">
        <v>278</v>
      </c>
      <c r="D245" s="128">
        <v>1</v>
      </c>
      <c r="E245" s="115" t="s">
        <v>347</v>
      </c>
      <c r="F245" s="132">
        <v>4400</v>
      </c>
      <c r="G245" s="181">
        <v>4400</v>
      </c>
      <c r="H245" t="s">
        <v>31</v>
      </c>
      <c r="J245" t="s">
        <v>24</v>
      </c>
      <c r="K245" t="s">
        <v>10</v>
      </c>
    </row>
    <row r="246" spans="1:11">
      <c r="A246" s="123">
        <v>252715</v>
      </c>
      <c r="B246" s="162">
        <v>46009</v>
      </c>
      <c r="C246" s="1" t="s">
        <v>278</v>
      </c>
      <c r="D246" s="128">
        <v>1</v>
      </c>
      <c r="E246" s="115" t="s">
        <v>348</v>
      </c>
      <c r="F246" s="132">
        <v>2150</v>
      </c>
      <c r="G246" s="181">
        <v>2150</v>
      </c>
      <c r="H246" t="s">
        <v>31</v>
      </c>
      <c r="J246" t="s">
        <v>24</v>
      </c>
      <c r="K246" t="s">
        <v>10</v>
      </c>
    </row>
    <row r="247" spans="1:11">
      <c r="A247" s="123">
        <v>252715</v>
      </c>
      <c r="B247" s="162">
        <v>46009</v>
      </c>
      <c r="C247" s="1" t="s">
        <v>278</v>
      </c>
      <c r="D247" s="128">
        <v>3</v>
      </c>
      <c r="E247" s="115" t="s">
        <v>349</v>
      </c>
      <c r="F247" s="132">
        <v>830</v>
      </c>
      <c r="G247" s="181">
        <v>2490</v>
      </c>
      <c r="H247" t="s">
        <v>31</v>
      </c>
      <c r="J247" t="s">
        <v>24</v>
      </c>
      <c r="K247" t="s">
        <v>10</v>
      </c>
    </row>
    <row r="248" spans="1:11">
      <c r="A248" s="123">
        <v>252715</v>
      </c>
      <c r="B248" s="162">
        <v>46009</v>
      </c>
      <c r="C248" s="1" t="s">
        <v>278</v>
      </c>
      <c r="D248" s="128">
        <v>1</v>
      </c>
      <c r="E248" s="115" t="s">
        <v>350</v>
      </c>
      <c r="F248" s="132">
        <v>1860</v>
      </c>
      <c r="G248" s="181">
        <v>1860</v>
      </c>
      <c r="H248" t="s">
        <v>31</v>
      </c>
      <c r="J248" t="s">
        <v>24</v>
      </c>
      <c r="K248" t="s">
        <v>10</v>
      </c>
    </row>
    <row r="249" spans="1:11">
      <c r="A249" s="123">
        <v>252715</v>
      </c>
      <c r="B249" s="162">
        <v>46009</v>
      </c>
      <c r="C249" s="1" t="s">
        <v>278</v>
      </c>
      <c r="D249" s="128">
        <v>1</v>
      </c>
      <c r="E249" s="115" t="s">
        <v>351</v>
      </c>
      <c r="F249" s="132">
        <v>650</v>
      </c>
      <c r="G249" s="181">
        <v>650</v>
      </c>
      <c r="H249" t="s">
        <v>31</v>
      </c>
      <c r="J249" t="s">
        <v>24</v>
      </c>
      <c r="K249" t="s">
        <v>10</v>
      </c>
    </row>
    <row r="250" spans="1:11">
      <c r="A250" s="123">
        <v>252716</v>
      </c>
      <c r="B250" s="162">
        <v>46010</v>
      </c>
      <c r="C250" s="1" t="s">
        <v>89</v>
      </c>
      <c r="D250" s="128">
        <v>1</v>
      </c>
      <c r="E250" s="115" t="s">
        <v>352</v>
      </c>
      <c r="F250" s="132">
        <v>1730</v>
      </c>
      <c r="G250" s="181">
        <v>1730</v>
      </c>
      <c r="H250" t="s">
        <v>31</v>
      </c>
      <c r="J250" t="s">
        <v>24</v>
      </c>
      <c r="K250" t="s">
        <v>10</v>
      </c>
    </row>
    <row r="251" spans="1:11">
      <c r="A251" s="123">
        <v>252716</v>
      </c>
      <c r="B251" s="162">
        <v>46010</v>
      </c>
      <c r="C251" s="1" t="s">
        <v>89</v>
      </c>
      <c r="D251" s="128">
        <v>1</v>
      </c>
      <c r="E251" s="115" t="s">
        <v>353</v>
      </c>
      <c r="F251" s="132">
        <v>570</v>
      </c>
      <c r="G251" s="181">
        <v>570</v>
      </c>
      <c r="H251" t="s">
        <v>31</v>
      </c>
      <c r="J251" t="s">
        <v>24</v>
      </c>
      <c r="K251" t="s">
        <v>10</v>
      </c>
    </row>
    <row r="252" spans="1:11">
      <c r="A252" s="123">
        <v>252716</v>
      </c>
      <c r="B252" s="162">
        <v>46010</v>
      </c>
      <c r="C252" s="1" t="s">
        <v>89</v>
      </c>
      <c r="D252" s="128">
        <v>1</v>
      </c>
      <c r="E252" s="115" t="s">
        <v>354</v>
      </c>
      <c r="F252" s="132">
        <v>200</v>
      </c>
      <c r="G252" s="181">
        <v>200</v>
      </c>
      <c r="H252" t="s">
        <v>31</v>
      </c>
      <c r="J252" t="s">
        <v>24</v>
      </c>
      <c r="K252" t="s">
        <v>10</v>
      </c>
    </row>
    <row r="253" spans="1:11">
      <c r="A253" s="123">
        <v>252717</v>
      </c>
      <c r="B253" s="162">
        <v>46023</v>
      </c>
      <c r="C253" s="1" t="s">
        <v>278</v>
      </c>
      <c r="D253" s="128">
        <v>1</v>
      </c>
      <c r="E253" s="115" t="s">
        <v>355</v>
      </c>
      <c r="F253" s="132">
        <v>2905</v>
      </c>
      <c r="G253" s="181">
        <v>2905</v>
      </c>
      <c r="H253" t="s">
        <v>31</v>
      </c>
      <c r="J253" t="s">
        <v>24</v>
      </c>
      <c r="K253" t="s">
        <v>10</v>
      </c>
    </row>
    <row r="254" spans="1:11">
      <c r="A254" s="123">
        <v>252717</v>
      </c>
      <c r="B254" s="162">
        <v>46023</v>
      </c>
      <c r="C254" s="1" t="s">
        <v>278</v>
      </c>
      <c r="D254" s="128">
        <v>1</v>
      </c>
      <c r="E254" s="115" t="s">
        <v>356</v>
      </c>
      <c r="F254" s="132">
        <v>850</v>
      </c>
      <c r="G254" s="181">
        <v>850</v>
      </c>
      <c r="H254" t="s">
        <v>31</v>
      </c>
      <c r="J254" t="s">
        <v>24</v>
      </c>
      <c r="K254" t="s">
        <v>10</v>
      </c>
    </row>
    <row r="255" spans="1:11">
      <c r="A255" s="123">
        <v>252718</v>
      </c>
      <c r="B255" s="162">
        <v>46024</v>
      </c>
      <c r="C255" s="1" t="s">
        <v>278</v>
      </c>
      <c r="D255" s="128">
        <v>1</v>
      </c>
      <c r="E255" s="115" t="s">
        <v>357</v>
      </c>
      <c r="F255" s="132">
        <v>500</v>
      </c>
      <c r="G255" s="181">
        <v>500</v>
      </c>
      <c r="H255" t="s">
        <v>31</v>
      </c>
      <c r="J255" t="s">
        <v>24</v>
      </c>
      <c r="K255" t="s">
        <v>10</v>
      </c>
    </row>
    <row r="256" spans="1:11">
      <c r="A256" s="123">
        <v>252719</v>
      </c>
      <c r="B256" s="162">
        <v>46024</v>
      </c>
      <c r="C256" s="1" t="s">
        <v>278</v>
      </c>
      <c r="D256" s="128">
        <v>1</v>
      </c>
      <c r="E256" s="115" t="s">
        <v>357</v>
      </c>
      <c r="F256" s="132">
        <v>500</v>
      </c>
      <c r="G256" s="181">
        <v>500</v>
      </c>
      <c r="H256" t="s">
        <v>31</v>
      </c>
      <c r="J256" t="s">
        <v>24</v>
      </c>
      <c r="K256" t="s">
        <v>10</v>
      </c>
    </row>
    <row r="257" spans="1:11">
      <c r="A257" s="123">
        <v>252720</v>
      </c>
      <c r="B257" s="162">
        <v>46024</v>
      </c>
      <c r="C257" s="1" t="s">
        <v>278</v>
      </c>
      <c r="D257" s="128">
        <v>1</v>
      </c>
      <c r="E257" s="115" t="s">
        <v>358</v>
      </c>
      <c r="F257" s="132">
        <v>500</v>
      </c>
      <c r="G257" s="181">
        <v>500</v>
      </c>
      <c r="H257" t="s">
        <v>31</v>
      </c>
      <c r="J257" t="s">
        <v>24</v>
      </c>
      <c r="K257" t="s">
        <v>10</v>
      </c>
    </row>
    <row r="258" spans="1:11">
      <c r="A258" s="123">
        <v>252721</v>
      </c>
      <c r="B258" s="162">
        <v>46024</v>
      </c>
      <c r="C258" s="1" t="s">
        <v>278</v>
      </c>
      <c r="D258" s="128">
        <v>1</v>
      </c>
      <c r="E258" s="115" t="s">
        <v>358</v>
      </c>
      <c r="F258" s="132">
        <v>500</v>
      </c>
      <c r="G258" s="181">
        <v>500</v>
      </c>
      <c r="H258" t="s">
        <v>31</v>
      </c>
      <c r="J258" t="s">
        <v>24</v>
      </c>
      <c r="K258" t="s">
        <v>10</v>
      </c>
    </row>
    <row r="259" spans="1:11">
      <c r="A259" s="123">
        <v>252722</v>
      </c>
      <c r="B259" s="162">
        <v>46024</v>
      </c>
      <c r="C259" s="1" t="s">
        <v>278</v>
      </c>
      <c r="D259" s="128">
        <v>1</v>
      </c>
      <c r="E259" s="115" t="s">
        <v>359</v>
      </c>
      <c r="F259" s="132">
        <v>500</v>
      </c>
      <c r="G259" s="181">
        <v>500</v>
      </c>
      <c r="H259" t="s">
        <v>31</v>
      </c>
      <c r="J259" t="s">
        <v>24</v>
      </c>
      <c r="K259" t="s">
        <v>10</v>
      </c>
    </row>
    <row r="260" spans="1:11">
      <c r="A260" s="123">
        <v>252723</v>
      </c>
      <c r="B260" s="162">
        <v>46024</v>
      </c>
      <c r="C260" s="1" t="s">
        <v>278</v>
      </c>
      <c r="D260" s="128">
        <v>1</v>
      </c>
      <c r="E260" s="115" t="s">
        <v>360</v>
      </c>
      <c r="F260" s="132">
        <v>250</v>
      </c>
      <c r="G260" s="181">
        <v>250</v>
      </c>
      <c r="H260" t="s">
        <v>31</v>
      </c>
      <c r="J260" t="s">
        <v>24</v>
      </c>
      <c r="K260" t="s">
        <v>10</v>
      </c>
    </row>
    <row r="261" spans="1:11">
      <c r="A261" s="123">
        <v>252723</v>
      </c>
      <c r="B261" s="162">
        <v>46024</v>
      </c>
      <c r="C261" s="1" t="s">
        <v>278</v>
      </c>
      <c r="D261" s="128">
        <v>2</v>
      </c>
      <c r="E261" s="115" t="s">
        <v>361</v>
      </c>
      <c r="F261" s="132">
        <v>125</v>
      </c>
      <c r="G261" s="181">
        <v>250</v>
      </c>
      <c r="H261" t="s">
        <v>31</v>
      </c>
      <c r="J261" t="s">
        <v>24</v>
      </c>
      <c r="K261" t="s">
        <v>10</v>
      </c>
    </row>
    <row r="262" spans="1:11">
      <c r="A262" s="123">
        <v>252724</v>
      </c>
      <c r="B262" s="162">
        <v>46025</v>
      </c>
      <c r="C262" s="1" t="s">
        <v>278</v>
      </c>
      <c r="D262" s="128">
        <v>1</v>
      </c>
      <c r="E262" s="115" t="s">
        <v>362</v>
      </c>
      <c r="F262" s="132">
        <v>500</v>
      </c>
      <c r="G262" s="181">
        <v>500</v>
      </c>
      <c r="H262" t="s">
        <v>31</v>
      </c>
      <c r="J262" t="s">
        <v>24</v>
      </c>
      <c r="K262" t="s">
        <v>10</v>
      </c>
    </row>
    <row r="263" spans="1:11">
      <c r="A263" s="123">
        <v>252725</v>
      </c>
      <c r="B263" s="162">
        <v>46025</v>
      </c>
      <c r="C263" s="1" t="s">
        <v>278</v>
      </c>
      <c r="D263" s="128">
        <v>1</v>
      </c>
      <c r="E263" s="115" t="s">
        <v>362</v>
      </c>
      <c r="F263" s="132">
        <v>500</v>
      </c>
      <c r="G263" s="181">
        <v>500</v>
      </c>
      <c r="H263" t="s">
        <v>31</v>
      </c>
      <c r="J263" t="s">
        <v>24</v>
      </c>
      <c r="K263" t="s">
        <v>10</v>
      </c>
    </row>
    <row r="264" spans="1:11">
      <c r="A264" s="123">
        <v>252726</v>
      </c>
      <c r="B264" s="162">
        <v>46025</v>
      </c>
      <c r="C264" s="1" t="s">
        <v>278</v>
      </c>
      <c r="D264" s="128">
        <v>1</v>
      </c>
      <c r="E264" s="115" t="s">
        <v>362</v>
      </c>
      <c r="F264" s="132">
        <v>500</v>
      </c>
      <c r="G264" s="181">
        <v>500</v>
      </c>
      <c r="H264" t="s">
        <v>31</v>
      </c>
      <c r="J264" t="s">
        <v>24</v>
      </c>
      <c r="K264" t="s">
        <v>10</v>
      </c>
    </row>
    <row r="265" spans="1:11">
      <c r="A265" s="123">
        <v>252727</v>
      </c>
      <c r="B265" s="162">
        <v>46027</v>
      </c>
      <c r="C265" s="1" t="s">
        <v>278</v>
      </c>
      <c r="D265" s="128">
        <v>1</v>
      </c>
      <c r="E265" s="115" t="s">
        <v>363</v>
      </c>
      <c r="F265" s="132">
        <v>500</v>
      </c>
      <c r="G265" s="181">
        <v>500</v>
      </c>
      <c r="H265" t="s">
        <v>31</v>
      </c>
      <c r="J265" t="s">
        <v>24</v>
      </c>
      <c r="K265" t="s">
        <v>10</v>
      </c>
    </row>
    <row r="266" spans="1:11">
      <c r="A266" s="123">
        <v>252728</v>
      </c>
      <c r="B266" s="162">
        <v>46027</v>
      </c>
      <c r="C266" s="1" t="s">
        <v>278</v>
      </c>
      <c r="D266" s="128">
        <v>1</v>
      </c>
      <c r="E266" s="115" t="s">
        <v>364</v>
      </c>
      <c r="F266" s="132">
        <v>500</v>
      </c>
      <c r="G266" s="181">
        <v>500</v>
      </c>
      <c r="H266" t="s">
        <v>31</v>
      </c>
      <c r="J266" t="s">
        <v>24</v>
      </c>
      <c r="K266" t="s">
        <v>10</v>
      </c>
    </row>
    <row r="267" spans="1:11">
      <c r="A267" s="123">
        <v>252729</v>
      </c>
      <c r="B267" s="162">
        <v>46027</v>
      </c>
      <c r="C267" s="1" t="s">
        <v>278</v>
      </c>
      <c r="D267" s="128">
        <v>1</v>
      </c>
      <c r="E267" s="115" t="s">
        <v>364</v>
      </c>
      <c r="F267" s="132">
        <v>500</v>
      </c>
      <c r="G267" s="181">
        <v>500</v>
      </c>
      <c r="H267" t="s">
        <v>31</v>
      </c>
      <c r="J267" t="s">
        <v>24</v>
      </c>
      <c r="K267" t="s">
        <v>10</v>
      </c>
    </row>
    <row r="268" spans="1:11">
      <c r="A268" s="123">
        <v>252730</v>
      </c>
      <c r="B268" s="162">
        <v>46027</v>
      </c>
      <c r="C268" s="1" t="s">
        <v>278</v>
      </c>
      <c r="D268" s="128">
        <v>1</v>
      </c>
      <c r="E268" s="115" t="s">
        <v>364</v>
      </c>
      <c r="F268" s="132">
        <v>500</v>
      </c>
      <c r="G268" s="181">
        <v>500</v>
      </c>
      <c r="H268" t="s">
        <v>31</v>
      </c>
      <c r="J268" t="s">
        <v>24</v>
      </c>
      <c r="K268" t="s">
        <v>10</v>
      </c>
    </row>
    <row r="269" spans="1:11">
      <c r="A269" s="123">
        <v>252731</v>
      </c>
      <c r="B269" s="162">
        <v>46027</v>
      </c>
      <c r="C269" s="1" t="s">
        <v>278</v>
      </c>
      <c r="D269" s="128">
        <v>1</v>
      </c>
      <c r="E269" s="115" t="s">
        <v>365</v>
      </c>
      <c r="F269" s="132">
        <v>500</v>
      </c>
      <c r="G269" s="181">
        <v>500</v>
      </c>
      <c r="H269" t="s">
        <v>31</v>
      </c>
      <c r="J269" t="s">
        <v>24</v>
      </c>
      <c r="K269" t="s">
        <v>10</v>
      </c>
    </row>
    <row r="270" spans="1:11">
      <c r="A270" s="123">
        <v>252732</v>
      </c>
      <c r="B270" s="162">
        <v>46029</v>
      </c>
      <c r="C270" s="1" t="s">
        <v>278</v>
      </c>
      <c r="D270" s="128">
        <v>1</v>
      </c>
      <c r="E270" s="115" t="s">
        <v>366</v>
      </c>
      <c r="F270" s="132">
        <v>500</v>
      </c>
      <c r="G270" s="181">
        <v>500</v>
      </c>
      <c r="H270" t="s">
        <v>31</v>
      </c>
      <c r="J270" t="s">
        <v>24</v>
      </c>
      <c r="K270" t="s">
        <v>10</v>
      </c>
    </row>
    <row r="271" spans="1:11">
      <c r="A271" s="123">
        <v>252733</v>
      </c>
      <c r="B271" s="162">
        <v>46029</v>
      </c>
      <c r="C271" s="1" t="s">
        <v>278</v>
      </c>
      <c r="D271" s="128">
        <v>1</v>
      </c>
      <c r="E271" s="115" t="s">
        <v>358</v>
      </c>
      <c r="F271" s="132">
        <v>500</v>
      </c>
      <c r="G271" s="181">
        <v>500</v>
      </c>
      <c r="H271" t="s">
        <v>31</v>
      </c>
      <c r="J271" t="s">
        <v>24</v>
      </c>
      <c r="K271" t="s">
        <v>10</v>
      </c>
    </row>
    <row r="272" spans="1:11">
      <c r="A272" s="123">
        <v>252734</v>
      </c>
      <c r="B272" s="162">
        <v>46029</v>
      </c>
      <c r="C272" s="1" t="s">
        <v>278</v>
      </c>
      <c r="D272" s="128">
        <v>2</v>
      </c>
      <c r="E272" s="115" t="s">
        <v>367</v>
      </c>
      <c r="F272" s="132">
        <v>250</v>
      </c>
      <c r="G272" s="181">
        <v>500</v>
      </c>
      <c r="H272" t="s">
        <v>31</v>
      </c>
      <c r="J272" t="s">
        <v>24</v>
      </c>
      <c r="K272" t="s">
        <v>10</v>
      </c>
    </row>
    <row r="273" spans="1:11">
      <c r="A273" s="123">
        <v>252735</v>
      </c>
      <c r="B273" s="162">
        <v>46031</v>
      </c>
      <c r="C273" s="1" t="s">
        <v>278</v>
      </c>
      <c r="D273" s="128">
        <v>2</v>
      </c>
      <c r="E273" s="115" t="s">
        <v>368</v>
      </c>
      <c r="F273" s="132">
        <v>160</v>
      </c>
      <c r="G273" s="181">
        <v>320</v>
      </c>
      <c r="H273" t="s">
        <v>31</v>
      </c>
      <c r="J273" t="s">
        <v>24</v>
      </c>
      <c r="K273" t="s">
        <v>10</v>
      </c>
    </row>
    <row r="274" spans="1:11">
      <c r="A274" s="123">
        <v>252735</v>
      </c>
      <c r="B274" s="162">
        <v>46031</v>
      </c>
      <c r="C274" s="1" t="s">
        <v>278</v>
      </c>
      <c r="D274" s="128">
        <v>1</v>
      </c>
      <c r="E274" s="115" t="s">
        <v>369</v>
      </c>
      <c r="F274" s="132">
        <v>180</v>
      </c>
      <c r="G274" s="181">
        <v>180</v>
      </c>
      <c r="H274" t="s">
        <v>31</v>
      </c>
      <c r="J274" t="s">
        <v>24</v>
      </c>
      <c r="K274" t="s">
        <v>10</v>
      </c>
    </row>
    <row r="275" spans="1:11">
      <c r="A275" s="123">
        <v>252736</v>
      </c>
      <c r="B275" s="162">
        <v>46032</v>
      </c>
      <c r="C275" s="1" t="s">
        <v>370</v>
      </c>
      <c r="D275" s="128">
        <v>1</v>
      </c>
      <c r="E275" s="115" t="s">
        <v>371</v>
      </c>
      <c r="F275" s="132">
        <v>4600</v>
      </c>
      <c r="G275" s="181">
        <v>4600</v>
      </c>
      <c r="H275" t="s">
        <v>31</v>
      </c>
      <c r="J275" t="s">
        <v>24</v>
      </c>
      <c r="K275" t="s">
        <v>10</v>
      </c>
    </row>
    <row r="276" spans="1:11">
      <c r="A276" s="123">
        <v>252736</v>
      </c>
      <c r="B276" s="162">
        <v>46032</v>
      </c>
      <c r="C276" s="1" t="s">
        <v>370</v>
      </c>
      <c r="D276" s="128">
        <v>2</v>
      </c>
      <c r="E276" s="115" t="s">
        <v>372</v>
      </c>
      <c r="F276" s="132">
        <v>3930</v>
      </c>
      <c r="G276" s="181">
        <v>7860</v>
      </c>
      <c r="H276" t="s">
        <v>31</v>
      </c>
      <c r="J276" t="s">
        <v>24</v>
      </c>
      <c r="K276" t="s">
        <v>10</v>
      </c>
    </row>
    <row r="277" spans="1:11">
      <c r="A277" s="123">
        <v>252736</v>
      </c>
      <c r="B277" s="162">
        <v>46032</v>
      </c>
      <c r="C277" s="1" t="s">
        <v>370</v>
      </c>
      <c r="D277" s="128">
        <v>3</v>
      </c>
      <c r="E277" s="115" t="s">
        <v>373</v>
      </c>
      <c r="F277" s="132">
        <v>3727</v>
      </c>
      <c r="G277" s="181">
        <v>11181</v>
      </c>
      <c r="H277" t="s">
        <v>31</v>
      </c>
      <c r="J277" t="s">
        <v>24</v>
      </c>
      <c r="K277" t="s">
        <v>10</v>
      </c>
    </row>
    <row r="278" spans="1:11">
      <c r="A278" s="123">
        <v>252736</v>
      </c>
      <c r="B278" s="162">
        <v>46032</v>
      </c>
      <c r="C278" s="1" t="s">
        <v>370</v>
      </c>
      <c r="D278" s="128">
        <v>1</v>
      </c>
      <c r="E278" s="115" t="s">
        <v>374</v>
      </c>
      <c r="F278" s="132">
        <v>2920</v>
      </c>
      <c r="G278" s="181">
        <v>2920</v>
      </c>
      <c r="H278" t="s">
        <v>31</v>
      </c>
      <c r="J278" t="s">
        <v>24</v>
      </c>
      <c r="K278" t="s">
        <v>10</v>
      </c>
    </row>
    <row r="279" spans="1:11">
      <c r="A279" s="123">
        <v>252736</v>
      </c>
      <c r="B279" s="162">
        <v>46032</v>
      </c>
      <c r="C279" s="1" t="s">
        <v>370</v>
      </c>
      <c r="D279" s="128">
        <v>6</v>
      </c>
      <c r="E279" s="115" t="s">
        <v>375</v>
      </c>
      <c r="F279" s="132">
        <v>450</v>
      </c>
      <c r="G279" s="181">
        <v>2700</v>
      </c>
      <c r="H279" t="s">
        <v>31</v>
      </c>
      <c r="J279" t="s">
        <v>24</v>
      </c>
      <c r="K279" t="s">
        <v>10</v>
      </c>
    </row>
    <row r="280" spans="1:11">
      <c r="A280" s="123">
        <v>252736</v>
      </c>
      <c r="B280" s="162">
        <v>46032</v>
      </c>
      <c r="C280" s="1" t="s">
        <v>370</v>
      </c>
      <c r="D280" s="128">
        <v>114</v>
      </c>
      <c r="E280" s="115" t="s">
        <v>376</v>
      </c>
      <c r="F280" s="132">
        <v>48</v>
      </c>
      <c r="G280" s="181">
        <v>5472</v>
      </c>
      <c r="H280" t="s">
        <v>31</v>
      </c>
      <c r="J280" t="s">
        <v>24</v>
      </c>
      <c r="K280" t="s">
        <v>10</v>
      </c>
    </row>
    <row r="281" spans="1:11">
      <c r="A281" s="123">
        <v>252736</v>
      </c>
      <c r="B281" s="162">
        <v>46032</v>
      </c>
      <c r="C281" s="1" t="s">
        <v>370</v>
      </c>
      <c r="D281" s="128">
        <v>114</v>
      </c>
      <c r="E281" s="115" t="s">
        <v>377</v>
      </c>
      <c r="F281" s="132">
        <v>5</v>
      </c>
      <c r="G281" s="181">
        <v>570</v>
      </c>
      <c r="H281" t="s">
        <v>31</v>
      </c>
      <c r="J281" t="s">
        <v>24</v>
      </c>
      <c r="K281" t="s">
        <v>10</v>
      </c>
    </row>
    <row r="282" spans="1:11">
      <c r="A282" s="123">
        <v>252736</v>
      </c>
      <c r="B282" s="162">
        <v>46032</v>
      </c>
      <c r="C282" s="1" t="s">
        <v>370</v>
      </c>
      <c r="D282" s="128">
        <v>5</v>
      </c>
      <c r="E282" s="115" t="s">
        <v>378</v>
      </c>
      <c r="F282" s="132">
        <v>76</v>
      </c>
      <c r="G282" s="181">
        <v>380</v>
      </c>
      <c r="H282" t="s">
        <v>31</v>
      </c>
      <c r="J282" t="s">
        <v>24</v>
      </c>
      <c r="K282" t="s">
        <v>10</v>
      </c>
    </row>
    <row r="283" spans="1:11">
      <c r="A283" s="123">
        <v>252736</v>
      </c>
      <c r="B283" s="162">
        <v>46032</v>
      </c>
      <c r="C283" s="1" t="s">
        <v>370</v>
      </c>
      <c r="D283" s="128">
        <v>18</v>
      </c>
      <c r="E283" s="115" t="s">
        <v>379</v>
      </c>
      <c r="F283" s="132">
        <v>30</v>
      </c>
      <c r="G283" s="181">
        <v>540</v>
      </c>
      <c r="H283" t="s">
        <v>31</v>
      </c>
      <c r="J283" t="s">
        <v>24</v>
      </c>
      <c r="K283" t="s">
        <v>10</v>
      </c>
    </row>
    <row r="284" spans="1:11">
      <c r="A284" s="123">
        <v>252736</v>
      </c>
      <c r="B284" s="162">
        <v>46032</v>
      </c>
      <c r="C284" s="1" t="s">
        <v>370</v>
      </c>
      <c r="D284" s="128">
        <v>1</v>
      </c>
      <c r="E284" s="115" t="s">
        <v>380</v>
      </c>
      <c r="F284" s="132">
        <v>260</v>
      </c>
      <c r="G284" s="181">
        <v>260</v>
      </c>
      <c r="H284" t="s">
        <v>31</v>
      </c>
      <c r="J284" t="s">
        <v>24</v>
      </c>
      <c r="K284" t="s">
        <v>10</v>
      </c>
    </row>
    <row r="285" spans="1:11">
      <c r="A285" s="123">
        <v>252737</v>
      </c>
      <c r="B285" s="162">
        <v>46036</v>
      </c>
      <c r="C285" s="1" t="s">
        <v>89</v>
      </c>
      <c r="D285" s="128">
        <v>1</v>
      </c>
      <c r="E285" s="115" t="s">
        <v>381</v>
      </c>
      <c r="F285" s="132">
        <v>344</v>
      </c>
      <c r="G285" s="181">
        <v>344</v>
      </c>
      <c r="H285" t="s">
        <v>31</v>
      </c>
      <c r="J285" t="s">
        <v>24</v>
      </c>
      <c r="K285" t="s">
        <v>10</v>
      </c>
    </row>
    <row r="286" spans="1:11">
      <c r="A286" s="123">
        <v>252737</v>
      </c>
      <c r="B286" s="162">
        <v>46036</v>
      </c>
      <c r="C286" s="1" t="s">
        <v>89</v>
      </c>
      <c r="D286" s="128">
        <v>1</v>
      </c>
      <c r="E286" s="115" t="s">
        <v>382</v>
      </c>
      <c r="F286" s="132">
        <v>156</v>
      </c>
      <c r="G286" s="181">
        <v>156</v>
      </c>
      <c r="H286" t="s">
        <v>31</v>
      </c>
      <c r="J286" t="s">
        <v>24</v>
      </c>
      <c r="K286" t="s">
        <v>10</v>
      </c>
    </row>
    <row r="287" spans="1:11">
      <c r="A287" s="123">
        <v>252738</v>
      </c>
      <c r="B287" s="162">
        <v>46037</v>
      </c>
      <c r="C287" s="1" t="s">
        <v>383</v>
      </c>
      <c r="D287" s="128">
        <v>2</v>
      </c>
      <c r="E287" s="115" t="s">
        <v>384</v>
      </c>
      <c r="F287" s="132">
        <v>956</v>
      </c>
      <c r="G287" s="181">
        <v>1912</v>
      </c>
      <c r="H287" t="s">
        <v>31</v>
      </c>
      <c r="J287" t="s">
        <v>24</v>
      </c>
      <c r="K287" t="s">
        <v>10</v>
      </c>
    </row>
    <row r="288" spans="1:11">
      <c r="A288" s="123">
        <v>252738</v>
      </c>
      <c r="B288" s="162">
        <v>46037</v>
      </c>
      <c r="C288" s="1" t="s">
        <v>383</v>
      </c>
      <c r="D288" s="128">
        <v>1</v>
      </c>
      <c r="E288" s="115" t="s">
        <v>385</v>
      </c>
      <c r="F288" s="132">
        <v>758</v>
      </c>
      <c r="G288" s="181">
        <v>758</v>
      </c>
      <c r="H288" t="s">
        <v>31</v>
      </c>
      <c r="J288" t="s">
        <v>24</v>
      </c>
      <c r="K288" t="s">
        <v>10</v>
      </c>
    </row>
    <row r="289" spans="1:11">
      <c r="A289" s="123">
        <v>252739</v>
      </c>
      <c r="B289" s="162">
        <v>46038</v>
      </c>
      <c r="C289" s="1" t="s">
        <v>89</v>
      </c>
      <c r="D289" s="128">
        <v>1</v>
      </c>
      <c r="E289" s="115" t="s">
        <v>386</v>
      </c>
      <c r="F289" s="132">
        <v>360</v>
      </c>
      <c r="G289" s="181">
        <v>360</v>
      </c>
      <c r="H289" t="s">
        <v>31</v>
      </c>
      <c r="J289" t="s">
        <v>24</v>
      </c>
      <c r="K289" t="s">
        <v>10</v>
      </c>
    </row>
    <row r="290" spans="1:11">
      <c r="A290" s="123">
        <v>252739</v>
      </c>
      <c r="B290" s="162">
        <v>46038</v>
      </c>
      <c r="C290" s="1" t="s">
        <v>89</v>
      </c>
      <c r="D290" s="128">
        <v>1</v>
      </c>
      <c r="E290" s="115" t="s">
        <v>387</v>
      </c>
      <c r="F290" s="132">
        <v>140</v>
      </c>
      <c r="G290" s="181">
        <v>140</v>
      </c>
      <c r="H290" t="s">
        <v>31</v>
      </c>
      <c r="J290" t="s">
        <v>24</v>
      </c>
      <c r="K290" t="s">
        <v>10</v>
      </c>
    </row>
    <row r="291" spans="1:11">
      <c r="A291" s="123">
        <v>252740</v>
      </c>
      <c r="B291" s="162">
        <v>46038</v>
      </c>
      <c r="C291" s="1" t="s">
        <v>278</v>
      </c>
      <c r="D291" s="128">
        <v>1</v>
      </c>
      <c r="E291" s="115" t="s">
        <v>388</v>
      </c>
      <c r="F291" s="132">
        <v>450</v>
      </c>
      <c r="G291" s="181">
        <v>450</v>
      </c>
      <c r="H291" t="s">
        <v>31</v>
      </c>
      <c r="J291" t="s">
        <v>24</v>
      </c>
      <c r="K291" t="s">
        <v>10</v>
      </c>
    </row>
    <row r="292" spans="1:11">
      <c r="A292" s="123">
        <v>252741</v>
      </c>
      <c r="B292" s="162">
        <v>46038</v>
      </c>
      <c r="C292" s="1" t="s">
        <v>278</v>
      </c>
      <c r="D292" s="128">
        <v>1</v>
      </c>
      <c r="E292" s="115" t="s">
        <v>389</v>
      </c>
      <c r="F292" s="132">
        <v>450</v>
      </c>
      <c r="G292" s="181">
        <v>450</v>
      </c>
      <c r="H292" t="s">
        <v>31</v>
      </c>
      <c r="J292" t="s">
        <v>24</v>
      </c>
      <c r="K292" t="s">
        <v>10</v>
      </c>
    </row>
    <row r="293" spans="1:11">
      <c r="A293" s="123">
        <v>252742</v>
      </c>
      <c r="B293" s="162">
        <v>46042</v>
      </c>
      <c r="C293" s="1" t="s">
        <v>89</v>
      </c>
      <c r="D293" s="128">
        <v>1</v>
      </c>
      <c r="E293" s="115" t="s">
        <v>390</v>
      </c>
      <c r="F293" s="132">
        <v>480</v>
      </c>
      <c r="G293" s="181">
        <v>480</v>
      </c>
      <c r="H293" t="s">
        <v>31</v>
      </c>
      <c r="J293" t="s">
        <v>24</v>
      </c>
      <c r="K293" t="s">
        <v>10</v>
      </c>
    </row>
    <row r="294" spans="1:11">
      <c r="A294" s="123">
        <v>252743</v>
      </c>
      <c r="B294" s="162">
        <v>46043</v>
      </c>
      <c r="C294" s="1" t="s">
        <v>7</v>
      </c>
      <c r="D294" s="128">
        <v>3</v>
      </c>
      <c r="E294" s="115" t="s">
        <v>391</v>
      </c>
      <c r="F294" s="132">
        <v>800</v>
      </c>
      <c r="G294" s="181">
        <v>2400</v>
      </c>
      <c r="H294" t="s">
        <v>31</v>
      </c>
      <c r="J294" t="s">
        <v>24</v>
      </c>
      <c r="K294" t="s">
        <v>10</v>
      </c>
    </row>
    <row r="295" spans="1:11">
      <c r="A295" s="123">
        <v>252744</v>
      </c>
      <c r="B295" s="162">
        <v>46045</v>
      </c>
      <c r="C295" s="1" t="s">
        <v>392</v>
      </c>
      <c r="D295" s="128">
        <v>1</v>
      </c>
      <c r="E295" s="115" t="s">
        <v>393</v>
      </c>
      <c r="F295" s="132">
        <v>999</v>
      </c>
      <c r="G295" s="181">
        <v>999</v>
      </c>
      <c r="H295" t="s">
        <v>31</v>
      </c>
      <c r="J295" t="s">
        <v>24</v>
      </c>
      <c r="K295" t="s">
        <v>10</v>
      </c>
    </row>
    <row r="296" spans="1:11">
      <c r="A296" s="123">
        <v>252744</v>
      </c>
      <c r="B296" s="162">
        <v>46045</v>
      </c>
      <c r="C296" s="1" t="s">
        <v>392</v>
      </c>
      <c r="D296" s="128">
        <v>1</v>
      </c>
      <c r="E296" s="115" t="s">
        <v>394</v>
      </c>
      <c r="F296" s="132">
        <v>690</v>
      </c>
      <c r="G296" s="181">
        <v>690</v>
      </c>
      <c r="H296" t="s">
        <v>31</v>
      </c>
      <c r="J296" t="s">
        <v>24</v>
      </c>
      <c r="K296" t="s">
        <v>10</v>
      </c>
    </row>
    <row r="297" spans="1:11">
      <c r="A297" s="123">
        <v>252744</v>
      </c>
      <c r="B297" s="162">
        <v>46045</v>
      </c>
      <c r="C297" s="1" t="s">
        <v>392</v>
      </c>
      <c r="D297" s="128">
        <v>1</v>
      </c>
      <c r="E297" s="115" t="s">
        <v>395</v>
      </c>
      <c r="F297" s="132">
        <v>10</v>
      </c>
      <c r="G297" s="181">
        <v>10</v>
      </c>
      <c r="H297" t="s">
        <v>31</v>
      </c>
      <c r="J297" t="s">
        <v>24</v>
      </c>
      <c r="K297" t="s">
        <v>10</v>
      </c>
    </row>
    <row r="298" spans="1:11">
      <c r="A298" s="123">
        <v>252745</v>
      </c>
      <c r="B298" s="162">
        <v>46046</v>
      </c>
      <c r="C298" s="1" t="s">
        <v>89</v>
      </c>
      <c r="D298" s="128">
        <v>1</v>
      </c>
      <c r="E298" s="115" t="s">
        <v>396</v>
      </c>
      <c r="F298" s="132">
        <v>500</v>
      </c>
      <c r="G298" s="181">
        <v>500</v>
      </c>
      <c r="H298" t="s">
        <v>31</v>
      </c>
      <c r="J298" t="s">
        <v>24</v>
      </c>
      <c r="K298" t="s">
        <v>10</v>
      </c>
    </row>
    <row r="299" spans="1:11">
      <c r="A299" s="123">
        <v>252746</v>
      </c>
      <c r="B299" s="162">
        <v>46046</v>
      </c>
      <c r="C299" s="1" t="s">
        <v>89</v>
      </c>
      <c r="D299" s="128">
        <v>1</v>
      </c>
      <c r="E299" s="115" t="s">
        <v>397</v>
      </c>
      <c r="F299" s="132">
        <v>500</v>
      </c>
      <c r="G299" s="181">
        <v>500</v>
      </c>
      <c r="H299" t="s">
        <v>31</v>
      </c>
      <c r="J299" t="s">
        <v>24</v>
      </c>
      <c r="K299" t="s">
        <v>10</v>
      </c>
    </row>
    <row r="300" spans="1:11">
      <c r="A300" s="123">
        <v>252747</v>
      </c>
      <c r="B300" s="162">
        <v>46050</v>
      </c>
      <c r="C300" s="1" t="s">
        <v>91</v>
      </c>
      <c r="D300" s="128">
        <v>1</v>
      </c>
      <c r="E300" s="115" t="s">
        <v>398</v>
      </c>
      <c r="F300" s="132">
        <v>900</v>
      </c>
      <c r="G300" s="181">
        <v>900</v>
      </c>
      <c r="H300" t="s">
        <v>31</v>
      </c>
      <c r="J300" t="s">
        <v>24</v>
      </c>
      <c r="K300" t="s">
        <v>10</v>
      </c>
    </row>
    <row r="301" spans="1:11">
      <c r="A301" s="123">
        <v>252747</v>
      </c>
      <c r="B301" s="162">
        <v>46050</v>
      </c>
      <c r="C301" s="1" t="s">
        <v>91</v>
      </c>
      <c r="D301" s="128">
        <v>1</v>
      </c>
      <c r="E301" s="115" t="s">
        <v>399</v>
      </c>
      <c r="F301" s="132">
        <v>450</v>
      </c>
      <c r="G301" s="181">
        <v>450</v>
      </c>
      <c r="H301" t="s">
        <v>31</v>
      </c>
      <c r="J301" t="s">
        <v>24</v>
      </c>
      <c r="K301" t="s">
        <v>10</v>
      </c>
    </row>
    <row r="302" spans="1:11">
      <c r="A302" s="123">
        <v>252748</v>
      </c>
      <c r="B302" s="162">
        <v>46051</v>
      </c>
      <c r="C302" s="1" t="s">
        <v>169</v>
      </c>
      <c r="D302" s="128">
        <v>1</v>
      </c>
      <c r="E302" s="115" t="s">
        <v>400</v>
      </c>
      <c r="F302" s="132">
        <v>717</v>
      </c>
      <c r="G302" s="181">
        <v>717</v>
      </c>
      <c r="H302" t="s">
        <v>26</v>
      </c>
      <c r="I302" t="s">
        <v>171</v>
      </c>
      <c r="J302" t="s">
        <v>24</v>
      </c>
      <c r="K302" t="s">
        <v>10</v>
      </c>
    </row>
    <row r="303" spans="1:11">
      <c r="A303" s="123">
        <v>252748</v>
      </c>
      <c r="B303" s="162">
        <v>46051</v>
      </c>
      <c r="C303" s="1" t="s">
        <v>169</v>
      </c>
      <c r="D303" s="128">
        <v>1</v>
      </c>
      <c r="E303" s="115" t="s">
        <v>401</v>
      </c>
      <c r="F303" s="132">
        <v>250</v>
      </c>
      <c r="G303" s="181">
        <v>250</v>
      </c>
      <c r="H303" t="s">
        <v>26</v>
      </c>
      <c r="I303" t="s">
        <v>171</v>
      </c>
      <c r="J303" t="s">
        <v>24</v>
      </c>
      <c r="K303" t="s">
        <v>10</v>
      </c>
    </row>
    <row r="304" spans="1:11">
      <c r="A304" s="123">
        <v>252748</v>
      </c>
      <c r="B304" s="162">
        <v>46051</v>
      </c>
      <c r="C304" s="1" t="s">
        <v>169</v>
      </c>
      <c r="D304" s="128">
        <v>46</v>
      </c>
      <c r="E304" s="115" t="s">
        <v>402</v>
      </c>
      <c r="F304" s="132">
        <v>47</v>
      </c>
      <c r="G304" s="181">
        <v>2162</v>
      </c>
      <c r="H304" t="s">
        <v>26</v>
      </c>
      <c r="I304" t="s">
        <v>171</v>
      </c>
      <c r="J304" t="s">
        <v>24</v>
      </c>
      <c r="K304" t="s">
        <v>10</v>
      </c>
    </row>
    <row r="305" spans="1:11">
      <c r="A305" s="123">
        <v>252748</v>
      </c>
      <c r="B305" s="162">
        <v>46051</v>
      </c>
      <c r="C305" s="1" t="s">
        <v>169</v>
      </c>
      <c r="D305" s="128">
        <v>4</v>
      </c>
      <c r="E305" s="115" t="s">
        <v>403</v>
      </c>
      <c r="F305" s="132">
        <v>58</v>
      </c>
      <c r="G305" s="181">
        <v>232</v>
      </c>
      <c r="H305" t="s">
        <v>26</v>
      </c>
      <c r="I305" t="s">
        <v>171</v>
      </c>
      <c r="J305" t="s">
        <v>24</v>
      </c>
      <c r="K305" t="s">
        <v>10</v>
      </c>
    </row>
    <row r="306" spans="1:11">
      <c r="A306" s="123">
        <v>252748</v>
      </c>
      <c r="B306" s="162">
        <v>46051</v>
      </c>
      <c r="C306" s="1" t="s">
        <v>169</v>
      </c>
      <c r="D306" s="128">
        <v>3</v>
      </c>
      <c r="E306" s="115" t="s">
        <v>404</v>
      </c>
      <c r="F306" s="132">
        <v>73</v>
      </c>
      <c r="G306" s="181">
        <v>219</v>
      </c>
      <c r="H306" t="s">
        <v>26</v>
      </c>
      <c r="I306" t="s">
        <v>171</v>
      </c>
      <c r="J306" t="s">
        <v>24</v>
      </c>
      <c r="K306" t="s">
        <v>10</v>
      </c>
    </row>
    <row r="307" spans="1:11">
      <c r="A307" s="123">
        <v>252748</v>
      </c>
      <c r="B307" s="162">
        <v>46051</v>
      </c>
      <c r="C307" s="1" t="s">
        <v>169</v>
      </c>
      <c r="D307" s="128">
        <v>6</v>
      </c>
      <c r="E307" s="115" t="s">
        <v>405</v>
      </c>
      <c r="F307" s="132">
        <v>350</v>
      </c>
      <c r="G307" s="181">
        <v>2100</v>
      </c>
      <c r="H307" t="s">
        <v>26</v>
      </c>
      <c r="I307" t="s">
        <v>171</v>
      </c>
      <c r="J307" t="s">
        <v>24</v>
      </c>
      <c r="K307" t="s">
        <v>10</v>
      </c>
    </row>
    <row r="308" spans="1:11">
      <c r="A308" s="123">
        <v>252749</v>
      </c>
      <c r="B308" s="162">
        <v>46052</v>
      </c>
      <c r="C308" s="1" t="s">
        <v>406</v>
      </c>
      <c r="D308" s="128">
        <v>2</v>
      </c>
      <c r="E308" s="115" t="s">
        <v>407</v>
      </c>
      <c r="F308" s="132">
        <v>955.15</v>
      </c>
      <c r="G308" s="181">
        <v>1910.3</v>
      </c>
      <c r="H308" t="s">
        <v>26</v>
      </c>
      <c r="J308" t="s">
        <v>24</v>
      </c>
      <c r="K308" t="s">
        <v>10</v>
      </c>
    </row>
    <row r="309" spans="1:11">
      <c r="A309" s="123">
        <v>252749</v>
      </c>
      <c r="B309" s="162">
        <v>46052</v>
      </c>
      <c r="C309" s="1" t="s">
        <v>406</v>
      </c>
      <c r="D309" s="128">
        <v>2</v>
      </c>
      <c r="E309" s="115" t="s">
        <v>408</v>
      </c>
      <c r="F309" s="132">
        <v>846</v>
      </c>
      <c r="G309" s="181">
        <v>1692</v>
      </c>
      <c r="H309" t="s">
        <v>26</v>
      </c>
      <c r="J309" t="s">
        <v>24</v>
      </c>
      <c r="K309" t="s">
        <v>10</v>
      </c>
    </row>
    <row r="310" spans="1:11">
      <c r="A310" s="123">
        <v>252749</v>
      </c>
      <c r="B310" s="162">
        <v>46052</v>
      </c>
      <c r="C310" s="1" t="s">
        <v>406</v>
      </c>
      <c r="D310" s="128">
        <v>1</v>
      </c>
      <c r="E310" s="115" t="s">
        <v>409</v>
      </c>
      <c r="F310" s="132">
        <v>800</v>
      </c>
      <c r="G310" s="181">
        <v>800</v>
      </c>
      <c r="H310" t="s">
        <v>26</v>
      </c>
      <c r="J310" t="s">
        <v>24</v>
      </c>
      <c r="K310" t="s">
        <v>10</v>
      </c>
    </row>
    <row r="311" spans="1:11">
      <c r="A311" s="123">
        <v>252749</v>
      </c>
      <c r="B311" s="162">
        <v>46052</v>
      </c>
      <c r="C311" s="1" t="s">
        <v>406</v>
      </c>
      <c r="D311" s="128">
        <v>1</v>
      </c>
      <c r="E311" s="115" t="s">
        <v>410</v>
      </c>
      <c r="F311" s="132">
        <v>400</v>
      </c>
      <c r="G311" s="181">
        <v>400</v>
      </c>
      <c r="H311" t="s">
        <v>26</v>
      </c>
      <c r="J311" t="s">
        <v>24</v>
      </c>
      <c r="K311" t="s">
        <v>10</v>
      </c>
    </row>
    <row r="312" spans="1:11">
      <c r="A312" s="123">
        <v>252750</v>
      </c>
      <c r="B312" s="162">
        <v>46053</v>
      </c>
      <c r="C312" s="1" t="s">
        <v>7</v>
      </c>
      <c r="D312" s="128">
        <v>3</v>
      </c>
      <c r="E312" s="115" t="s">
        <v>411</v>
      </c>
      <c r="F312" s="132">
        <v>717</v>
      </c>
      <c r="G312" s="181">
        <v>2151</v>
      </c>
      <c r="H312" t="s">
        <v>26</v>
      </c>
      <c r="J312" t="s">
        <v>24</v>
      </c>
      <c r="K312" t="s">
        <v>10</v>
      </c>
    </row>
    <row r="313" spans="1:11">
      <c r="A313" s="123">
        <v>252750</v>
      </c>
      <c r="B313" s="162">
        <v>46053</v>
      </c>
      <c r="C313" s="1" t="s">
        <v>7</v>
      </c>
      <c r="D313" s="128">
        <v>1</v>
      </c>
      <c r="E313" s="115" t="s">
        <v>412</v>
      </c>
      <c r="F313" s="132">
        <v>2479.65</v>
      </c>
      <c r="G313" s="181">
        <v>2479.65</v>
      </c>
      <c r="H313" t="s">
        <v>26</v>
      </c>
      <c r="J313" t="s">
        <v>24</v>
      </c>
      <c r="K313" t="s">
        <v>10</v>
      </c>
    </row>
    <row r="314" spans="1:11">
      <c r="A314" s="123">
        <v>252750</v>
      </c>
      <c r="B314" s="162">
        <v>46053</v>
      </c>
      <c r="C314" s="1" t="s">
        <v>7</v>
      </c>
      <c r="D314" s="128">
        <v>2</v>
      </c>
      <c r="E314" s="115" t="s">
        <v>222</v>
      </c>
      <c r="F314" s="132">
        <v>77</v>
      </c>
      <c r="G314" s="181">
        <v>154</v>
      </c>
      <c r="H314" t="s">
        <v>26</v>
      </c>
      <c r="J314" t="s">
        <v>24</v>
      </c>
      <c r="K314" t="s">
        <v>10</v>
      </c>
    </row>
    <row r="315" spans="1:11">
      <c r="A315" s="123">
        <v>252750</v>
      </c>
      <c r="B315" s="162">
        <v>46053</v>
      </c>
      <c r="C315" s="1" t="s">
        <v>7</v>
      </c>
      <c r="D315" s="128">
        <v>1</v>
      </c>
      <c r="E315" s="115" t="s">
        <v>413</v>
      </c>
      <c r="F315" s="132">
        <v>230.67</v>
      </c>
      <c r="G315" s="181">
        <v>230.67</v>
      </c>
      <c r="H315" t="s">
        <v>26</v>
      </c>
      <c r="J315" t="s">
        <v>24</v>
      </c>
      <c r="K315" t="s">
        <v>10</v>
      </c>
    </row>
    <row r="316" spans="1:11">
      <c r="A316" s="123">
        <v>252750</v>
      </c>
      <c r="B316" s="162">
        <v>46053</v>
      </c>
      <c r="C316" s="1" t="s">
        <v>7</v>
      </c>
      <c r="D316" s="128">
        <v>1</v>
      </c>
      <c r="E316" s="115" t="s">
        <v>414</v>
      </c>
      <c r="F316" s="132">
        <v>317.68</v>
      </c>
      <c r="G316" s="181">
        <v>317.68</v>
      </c>
      <c r="H316" t="s">
        <v>26</v>
      </c>
      <c r="J316" t="s">
        <v>24</v>
      </c>
      <c r="K316" t="s">
        <v>10</v>
      </c>
    </row>
    <row r="317" spans="1:11">
      <c r="A317" s="123">
        <v>252750</v>
      </c>
      <c r="B317" s="162">
        <v>46053</v>
      </c>
      <c r="C317" s="1" t="s">
        <v>7</v>
      </c>
      <c r="D317" s="128">
        <v>2</v>
      </c>
      <c r="E317" s="115" t="s">
        <v>415</v>
      </c>
      <c r="F317" s="132">
        <v>349</v>
      </c>
      <c r="G317" s="181">
        <v>698</v>
      </c>
      <c r="H317" t="s">
        <v>26</v>
      </c>
      <c r="J317" t="s">
        <v>24</v>
      </c>
      <c r="K317" t="s">
        <v>10</v>
      </c>
    </row>
    <row r="318" spans="1:11">
      <c r="A318" s="123">
        <v>252751</v>
      </c>
      <c r="B318" s="162">
        <v>46053</v>
      </c>
      <c r="C318" s="1" t="s">
        <v>89</v>
      </c>
      <c r="D318" s="128">
        <v>1</v>
      </c>
      <c r="E318" s="115" t="s">
        <v>416</v>
      </c>
      <c r="F318" s="132">
        <v>2460</v>
      </c>
      <c r="G318" s="181">
        <v>2460</v>
      </c>
      <c r="H318" t="s">
        <v>31</v>
      </c>
      <c r="J318" t="s">
        <v>24</v>
      </c>
      <c r="K318" t="s">
        <v>10</v>
      </c>
    </row>
    <row r="319" spans="1:11">
      <c r="A319" s="123">
        <v>252752</v>
      </c>
      <c r="B319" s="162">
        <v>46056</v>
      </c>
      <c r="C319" s="1" t="s">
        <v>91</v>
      </c>
      <c r="D319" s="128">
        <v>1</v>
      </c>
      <c r="E319" s="115" t="s">
        <v>417</v>
      </c>
      <c r="F319" s="132">
        <v>2960</v>
      </c>
      <c r="G319" s="181">
        <v>2960</v>
      </c>
      <c r="H319" t="s">
        <v>31</v>
      </c>
      <c r="J319" t="s">
        <v>24</v>
      </c>
      <c r="K319" t="s">
        <v>10</v>
      </c>
    </row>
    <row r="320" spans="1:11">
      <c r="A320" s="123">
        <v>252753</v>
      </c>
      <c r="B320" s="162">
        <v>46056</v>
      </c>
      <c r="C320" s="1" t="s">
        <v>7</v>
      </c>
      <c r="D320" s="128">
        <v>3</v>
      </c>
      <c r="E320" s="115" t="s">
        <v>418</v>
      </c>
      <c r="F320" s="132">
        <v>296</v>
      </c>
      <c r="G320" s="181">
        <v>888</v>
      </c>
      <c r="H320" t="s">
        <v>26</v>
      </c>
      <c r="J320" t="s">
        <v>24</v>
      </c>
      <c r="K320" t="s">
        <v>10</v>
      </c>
    </row>
    <row r="321" spans="1:11">
      <c r="A321" s="123">
        <v>252753</v>
      </c>
      <c r="B321" s="162">
        <v>46056</v>
      </c>
      <c r="C321" s="1" t="s">
        <v>7</v>
      </c>
      <c r="D321" s="128">
        <v>1</v>
      </c>
      <c r="E321" s="115" t="s">
        <v>419</v>
      </c>
      <c r="F321" s="132">
        <v>302.81</v>
      </c>
      <c r="G321" s="181">
        <v>302.81</v>
      </c>
      <c r="H321" t="s">
        <v>26</v>
      </c>
      <c r="J321" t="s">
        <v>24</v>
      </c>
      <c r="K321" t="s">
        <v>10</v>
      </c>
    </row>
    <row r="322" spans="1:11">
      <c r="A322" s="123">
        <v>252753</v>
      </c>
      <c r="B322" s="162">
        <v>46056</v>
      </c>
      <c r="C322" s="1" t="s">
        <v>7</v>
      </c>
      <c r="D322" s="128">
        <v>4</v>
      </c>
      <c r="E322" s="115" t="s">
        <v>420</v>
      </c>
      <c r="F322" s="132">
        <v>717</v>
      </c>
      <c r="G322" s="181">
        <v>2868</v>
      </c>
      <c r="H322" t="s">
        <v>26</v>
      </c>
      <c r="J322" t="s">
        <v>24</v>
      </c>
      <c r="K322" t="s">
        <v>10</v>
      </c>
    </row>
    <row r="323" spans="1:11">
      <c r="A323" s="123">
        <v>252753</v>
      </c>
      <c r="B323" s="162">
        <v>46056</v>
      </c>
      <c r="C323" s="1" t="s">
        <v>7</v>
      </c>
      <c r="D323" s="128">
        <v>2</v>
      </c>
      <c r="E323" s="115" t="s">
        <v>421</v>
      </c>
      <c r="F323" s="132">
        <v>313</v>
      </c>
      <c r="G323" s="181">
        <v>626</v>
      </c>
      <c r="H323" t="s">
        <v>26</v>
      </c>
      <c r="J323" t="s">
        <v>24</v>
      </c>
      <c r="K323" t="s">
        <v>10</v>
      </c>
    </row>
    <row r="324" spans="1:11">
      <c r="A324" s="123">
        <v>252753</v>
      </c>
      <c r="B324" s="162">
        <v>46056</v>
      </c>
      <c r="C324" s="1" t="s">
        <v>7</v>
      </c>
      <c r="D324" s="128">
        <v>4</v>
      </c>
      <c r="E324" s="115" t="s">
        <v>422</v>
      </c>
      <c r="F324" s="132">
        <v>932.2</v>
      </c>
      <c r="G324" s="181">
        <v>3728.8</v>
      </c>
      <c r="H324" t="s">
        <v>26</v>
      </c>
      <c r="J324" t="s">
        <v>24</v>
      </c>
      <c r="K324" t="s">
        <v>10</v>
      </c>
    </row>
    <row r="325" spans="1:11">
      <c r="A325" s="123">
        <v>252753</v>
      </c>
      <c r="B325" s="162">
        <v>46056</v>
      </c>
      <c r="C325" s="1" t="s">
        <v>7</v>
      </c>
      <c r="D325" s="128">
        <v>3</v>
      </c>
      <c r="E325" s="115" t="s">
        <v>423</v>
      </c>
      <c r="F325" s="132">
        <v>349</v>
      </c>
      <c r="G325" s="181">
        <v>1047</v>
      </c>
      <c r="H325" t="s">
        <v>26</v>
      </c>
      <c r="J325" t="s">
        <v>24</v>
      </c>
      <c r="K325" t="s">
        <v>10</v>
      </c>
    </row>
    <row r="326" spans="1:11">
      <c r="A326" s="123">
        <v>252753</v>
      </c>
      <c r="B326" s="162">
        <v>46056</v>
      </c>
      <c r="C326" s="1" t="s">
        <v>7</v>
      </c>
      <c r="D326" s="128">
        <v>1</v>
      </c>
      <c r="E326" s="115" t="s">
        <v>424</v>
      </c>
      <c r="F326" s="132">
        <v>690</v>
      </c>
      <c r="G326" s="181">
        <v>690</v>
      </c>
      <c r="H326" t="s">
        <v>26</v>
      </c>
      <c r="J326" t="s">
        <v>24</v>
      </c>
      <c r="K326" t="s">
        <v>10</v>
      </c>
    </row>
    <row r="327" spans="1:11">
      <c r="A327" s="123">
        <v>252753</v>
      </c>
      <c r="B327" s="162">
        <v>46056</v>
      </c>
      <c r="C327" s="1" t="s">
        <v>7</v>
      </c>
      <c r="D327" s="128">
        <v>1</v>
      </c>
      <c r="E327" s="115" t="s">
        <v>425</v>
      </c>
      <c r="F327" s="132">
        <v>210</v>
      </c>
      <c r="G327" s="181">
        <v>210</v>
      </c>
      <c r="H327" t="s">
        <v>26</v>
      </c>
      <c r="J327" t="s">
        <v>24</v>
      </c>
      <c r="K327" t="s">
        <v>10</v>
      </c>
    </row>
    <row r="328" spans="1:11">
      <c r="A328" s="123">
        <v>252754</v>
      </c>
      <c r="B328" s="162">
        <v>46057</v>
      </c>
      <c r="C328" s="1" t="s">
        <v>97</v>
      </c>
      <c r="D328" s="128">
        <v>1</v>
      </c>
      <c r="E328" s="115" t="s">
        <v>426</v>
      </c>
      <c r="F328" s="132">
        <v>687</v>
      </c>
      <c r="G328" s="181">
        <v>687</v>
      </c>
      <c r="H328" t="s">
        <v>26</v>
      </c>
      <c r="I328" t="s">
        <v>99</v>
      </c>
      <c r="J328" t="s">
        <v>24</v>
      </c>
      <c r="K328" t="s">
        <v>10</v>
      </c>
    </row>
    <row r="329" spans="1:11">
      <c r="A329" s="123">
        <v>252755</v>
      </c>
      <c r="B329" s="162">
        <v>46057</v>
      </c>
      <c r="C329" s="1" t="s">
        <v>91</v>
      </c>
      <c r="D329" s="128">
        <v>1</v>
      </c>
      <c r="E329" s="115" t="s">
        <v>427</v>
      </c>
      <c r="F329" s="132">
        <v>330</v>
      </c>
      <c r="G329" s="181">
        <v>330</v>
      </c>
      <c r="H329" t="s">
        <v>26</v>
      </c>
      <c r="J329" t="s">
        <v>24</v>
      </c>
      <c r="K329" t="s">
        <v>10</v>
      </c>
    </row>
    <row r="330" spans="1:11">
      <c r="A330" s="123">
        <v>252755</v>
      </c>
      <c r="B330" s="162">
        <v>46057</v>
      </c>
      <c r="C330" s="1" t="s">
        <v>91</v>
      </c>
      <c r="D330" s="128">
        <v>1</v>
      </c>
      <c r="E330" s="115" t="s">
        <v>146</v>
      </c>
      <c r="F330" s="132">
        <v>336</v>
      </c>
      <c r="G330" s="181">
        <v>336</v>
      </c>
      <c r="H330" t="s">
        <v>26</v>
      </c>
      <c r="J330" t="s">
        <v>24</v>
      </c>
      <c r="K330" t="s">
        <v>10</v>
      </c>
    </row>
    <row r="331" spans="1:11">
      <c r="A331" s="123">
        <v>252756</v>
      </c>
      <c r="B331" s="162">
        <v>46065</v>
      </c>
      <c r="C331" s="1" t="s">
        <v>428</v>
      </c>
      <c r="D331" s="128">
        <v>2</v>
      </c>
      <c r="E331" s="115" t="s">
        <v>429</v>
      </c>
      <c r="F331" s="132">
        <v>180</v>
      </c>
      <c r="G331" s="181">
        <v>360</v>
      </c>
      <c r="H331" t="s">
        <v>26</v>
      </c>
      <c r="J331" t="s">
        <v>24</v>
      </c>
      <c r="K331" t="s">
        <v>10</v>
      </c>
    </row>
    <row r="332" spans="1:11">
      <c r="A332" s="123">
        <v>252756</v>
      </c>
      <c r="B332" s="162">
        <v>46065</v>
      </c>
      <c r="C332" s="1" t="s">
        <v>428</v>
      </c>
      <c r="D332" s="128">
        <v>2</v>
      </c>
      <c r="E332" s="115" t="s">
        <v>430</v>
      </c>
      <c r="F332" s="132">
        <v>550</v>
      </c>
      <c r="G332" s="181">
        <v>1100</v>
      </c>
      <c r="H332" t="s">
        <v>26</v>
      </c>
      <c r="J332" t="s">
        <v>24</v>
      </c>
      <c r="K332" t="s">
        <v>10</v>
      </c>
    </row>
    <row r="333" spans="1:11">
      <c r="A333" s="123">
        <v>252757</v>
      </c>
      <c r="B333" s="162">
        <v>46066</v>
      </c>
      <c r="C333" s="1" t="s">
        <v>217</v>
      </c>
      <c r="D333" s="128">
        <v>2</v>
      </c>
      <c r="E333" s="194" t="s">
        <v>431</v>
      </c>
      <c r="F333" s="132">
        <v>300</v>
      </c>
      <c r="G333" s="198">
        <v>600</v>
      </c>
      <c r="H333" t="s">
        <v>26</v>
      </c>
      <c r="J333" t="s">
        <v>24</v>
      </c>
      <c r="K333" t="s">
        <v>10</v>
      </c>
    </row>
    <row r="334" spans="1:11">
      <c r="A334" s="123">
        <v>252757</v>
      </c>
      <c r="B334" s="162">
        <v>46066</v>
      </c>
      <c r="C334" s="1" t="s">
        <v>217</v>
      </c>
      <c r="D334" s="128">
        <v>3</v>
      </c>
      <c r="E334" s="194" t="s">
        <v>432</v>
      </c>
      <c r="F334" s="132">
        <v>300</v>
      </c>
      <c r="G334" s="198">
        <v>900</v>
      </c>
      <c r="H334" t="s">
        <v>26</v>
      </c>
      <c r="J334" t="s">
        <v>24</v>
      </c>
      <c r="K334" t="s">
        <v>10</v>
      </c>
    </row>
    <row r="335" spans="1:11">
      <c r="A335" s="123">
        <v>252757</v>
      </c>
      <c r="B335" s="162">
        <v>46066</v>
      </c>
      <c r="C335" s="1" t="s">
        <v>217</v>
      </c>
      <c r="D335" s="128">
        <v>2</v>
      </c>
      <c r="E335" s="194" t="s">
        <v>433</v>
      </c>
      <c r="F335" s="132">
        <v>947</v>
      </c>
      <c r="G335" s="198">
        <v>1894</v>
      </c>
      <c r="H335" t="s">
        <v>26</v>
      </c>
      <c r="J335" t="s">
        <v>24</v>
      </c>
      <c r="K335" t="s">
        <v>10</v>
      </c>
    </row>
    <row r="336" spans="1:11">
      <c r="A336" s="123">
        <v>252757</v>
      </c>
      <c r="B336" s="162">
        <v>46066</v>
      </c>
      <c r="C336" s="1" t="s">
        <v>217</v>
      </c>
      <c r="D336" s="128">
        <v>2</v>
      </c>
      <c r="E336" s="194" t="s">
        <v>434</v>
      </c>
      <c r="F336" s="132">
        <v>300</v>
      </c>
      <c r="G336" s="198">
        <v>600</v>
      </c>
      <c r="H336" t="s">
        <v>26</v>
      </c>
      <c r="J336" t="s">
        <v>24</v>
      </c>
      <c r="K336" t="s">
        <v>10</v>
      </c>
    </row>
    <row r="337" spans="1:11">
      <c r="A337" s="123">
        <v>252757</v>
      </c>
      <c r="B337" s="162">
        <v>46066</v>
      </c>
      <c r="C337" s="1" t="s">
        <v>217</v>
      </c>
      <c r="D337" s="128">
        <v>4</v>
      </c>
      <c r="E337" s="194" t="s">
        <v>435</v>
      </c>
      <c r="F337" s="132">
        <v>846</v>
      </c>
      <c r="G337" s="198">
        <v>3384</v>
      </c>
      <c r="H337" t="s">
        <v>26</v>
      </c>
      <c r="J337" t="s">
        <v>24</v>
      </c>
      <c r="K337" t="s">
        <v>10</v>
      </c>
    </row>
    <row r="338" spans="1:11">
      <c r="A338" s="123">
        <v>252757</v>
      </c>
      <c r="B338" s="162">
        <v>46066</v>
      </c>
      <c r="C338" s="1" t="s">
        <v>217</v>
      </c>
      <c r="D338" s="128">
        <v>1</v>
      </c>
      <c r="E338" s="194" t="s">
        <v>436</v>
      </c>
      <c r="F338" s="132">
        <v>300</v>
      </c>
      <c r="G338" s="198">
        <v>300</v>
      </c>
      <c r="H338" t="s">
        <v>26</v>
      </c>
      <c r="J338" t="s">
        <v>24</v>
      </c>
      <c r="K338" t="s">
        <v>10</v>
      </c>
    </row>
    <row r="339" spans="1:11">
      <c r="A339" s="123">
        <v>252757</v>
      </c>
      <c r="B339" s="162">
        <v>46066</v>
      </c>
      <c r="C339" s="1" t="s">
        <v>217</v>
      </c>
      <c r="D339" s="128">
        <v>1</v>
      </c>
      <c r="E339" s="194" t="s">
        <v>437</v>
      </c>
      <c r="F339" s="132">
        <v>955</v>
      </c>
      <c r="G339" s="198">
        <v>955</v>
      </c>
      <c r="H339" t="s">
        <v>26</v>
      </c>
      <c r="J339" t="s">
        <v>24</v>
      </c>
      <c r="K339" t="s">
        <v>10</v>
      </c>
    </row>
    <row r="340" spans="1:11">
      <c r="A340" s="123">
        <v>252757</v>
      </c>
      <c r="B340" s="162">
        <v>46066</v>
      </c>
      <c r="C340" s="1" t="s">
        <v>217</v>
      </c>
      <c r="D340" s="128">
        <v>1</v>
      </c>
      <c r="E340" s="194" t="s">
        <v>438</v>
      </c>
      <c r="F340" s="132">
        <v>295</v>
      </c>
      <c r="G340" s="198">
        <v>295</v>
      </c>
      <c r="H340" t="s">
        <v>26</v>
      </c>
      <c r="J340" t="s">
        <v>24</v>
      </c>
      <c r="K340" t="s">
        <v>10</v>
      </c>
    </row>
    <row r="341" spans="1:11">
      <c r="A341" s="123">
        <v>252757</v>
      </c>
      <c r="B341" s="162">
        <v>46066</v>
      </c>
      <c r="C341" s="1" t="s">
        <v>217</v>
      </c>
      <c r="D341" s="128">
        <v>1</v>
      </c>
      <c r="E341" s="194" t="s">
        <v>439</v>
      </c>
      <c r="F341" s="132">
        <v>1441</v>
      </c>
      <c r="G341" s="198">
        <v>1441</v>
      </c>
      <c r="H341" t="s">
        <v>26</v>
      </c>
      <c r="J341" t="s">
        <v>24</v>
      </c>
      <c r="K341" t="s">
        <v>10</v>
      </c>
    </row>
    <row r="342" spans="1:11">
      <c r="A342" s="123">
        <v>252757</v>
      </c>
      <c r="B342" s="162">
        <v>46066</v>
      </c>
      <c r="C342" s="1" t="s">
        <v>217</v>
      </c>
      <c r="D342" s="128">
        <v>2</v>
      </c>
      <c r="E342" s="194" t="s">
        <v>440</v>
      </c>
      <c r="F342" s="132">
        <v>188</v>
      </c>
      <c r="G342" s="198">
        <v>376</v>
      </c>
      <c r="H342" t="s">
        <v>26</v>
      </c>
      <c r="J342" t="s">
        <v>24</v>
      </c>
      <c r="K342" t="s">
        <v>10</v>
      </c>
    </row>
    <row r="343" spans="1:11">
      <c r="A343" s="123">
        <v>252758</v>
      </c>
      <c r="B343" s="162">
        <v>46066</v>
      </c>
      <c r="C343" s="1" t="s">
        <v>101</v>
      </c>
      <c r="D343" s="128">
        <v>1</v>
      </c>
      <c r="E343" s="115" t="s">
        <v>441</v>
      </c>
      <c r="F343" s="132">
        <v>8337</v>
      </c>
      <c r="G343" s="133">
        <v>8337</v>
      </c>
      <c r="H343" t="s">
        <v>26</v>
      </c>
      <c r="J343" t="s">
        <v>24</v>
      </c>
      <c r="K343" t="s">
        <v>10</v>
      </c>
    </row>
    <row r="344" spans="1:11">
      <c r="A344" s="123">
        <v>252759</v>
      </c>
      <c r="B344" s="162">
        <v>46070</v>
      </c>
      <c r="C344" s="1" t="s">
        <v>135</v>
      </c>
      <c r="D344" s="128">
        <v>2</v>
      </c>
      <c r="E344" s="194" t="s">
        <v>442</v>
      </c>
      <c r="F344" s="132">
        <v>398</v>
      </c>
      <c r="G344" s="198">
        <v>796</v>
      </c>
      <c r="H344" t="s">
        <v>26</v>
      </c>
      <c r="J344" t="s">
        <v>24</v>
      </c>
      <c r="K344" t="s">
        <v>10</v>
      </c>
    </row>
    <row r="345" spans="1:11">
      <c r="A345" s="123">
        <v>252759</v>
      </c>
      <c r="B345" s="162">
        <v>46070</v>
      </c>
      <c r="C345" s="1" t="s">
        <v>135</v>
      </c>
      <c r="D345" s="128">
        <v>1</v>
      </c>
      <c r="E345" s="194" t="s">
        <v>443</v>
      </c>
      <c r="F345" s="132">
        <v>350</v>
      </c>
      <c r="G345" s="198">
        <v>350</v>
      </c>
      <c r="H345" t="s">
        <v>26</v>
      </c>
      <c r="J345" t="s">
        <v>24</v>
      </c>
      <c r="K345" t="s">
        <v>10</v>
      </c>
    </row>
    <row r="346" spans="1:11">
      <c r="A346" s="123">
        <v>252760</v>
      </c>
      <c r="B346" s="162">
        <v>46070</v>
      </c>
      <c r="C346" s="1" t="s">
        <v>135</v>
      </c>
      <c r="D346" s="128">
        <v>1</v>
      </c>
      <c r="E346" s="194" t="s">
        <v>444</v>
      </c>
      <c r="F346" s="132">
        <v>450</v>
      </c>
      <c r="G346" s="198">
        <v>450</v>
      </c>
      <c r="H346" t="s">
        <v>31</v>
      </c>
      <c r="J346" t="s">
        <v>24</v>
      </c>
      <c r="K346" t="s">
        <v>10</v>
      </c>
    </row>
    <row r="347" spans="1:11">
      <c r="A347" s="123">
        <v>252761</v>
      </c>
      <c r="B347" s="162">
        <v>46070</v>
      </c>
      <c r="C347" s="1" t="s">
        <v>135</v>
      </c>
      <c r="D347" s="128">
        <v>1</v>
      </c>
      <c r="E347" s="194" t="s">
        <v>445</v>
      </c>
      <c r="F347" s="132">
        <v>450</v>
      </c>
      <c r="G347" s="198">
        <v>450</v>
      </c>
      <c r="H347" t="s">
        <v>31</v>
      </c>
      <c r="J347" t="s">
        <v>24</v>
      </c>
      <c r="K347" t="s">
        <v>10</v>
      </c>
    </row>
    <row r="348" spans="1:11">
      <c r="A348" s="123">
        <v>252762</v>
      </c>
      <c r="B348" s="162">
        <v>46073</v>
      </c>
      <c r="C348" s="1" t="s">
        <v>135</v>
      </c>
      <c r="D348" s="128">
        <v>1</v>
      </c>
      <c r="E348" s="194" t="s">
        <v>446</v>
      </c>
      <c r="F348" s="132">
        <v>2600</v>
      </c>
      <c r="G348" s="198">
        <v>2600</v>
      </c>
      <c r="H348" t="s">
        <v>31</v>
      </c>
      <c r="J348" t="s">
        <v>24</v>
      </c>
      <c r="K348" t="s">
        <v>10</v>
      </c>
    </row>
    <row r="349" spans="1:11">
      <c r="A349" s="123">
        <v>252763</v>
      </c>
      <c r="B349" s="162">
        <v>46073</v>
      </c>
      <c r="C349" s="1" t="s">
        <v>447</v>
      </c>
      <c r="D349" s="128">
        <v>1</v>
      </c>
      <c r="E349" s="194" t="s">
        <v>448</v>
      </c>
      <c r="F349" s="132">
        <v>354</v>
      </c>
      <c r="G349" s="198">
        <v>354</v>
      </c>
      <c r="H349" t="s">
        <v>31</v>
      </c>
      <c r="J349" t="s">
        <v>24</v>
      </c>
      <c r="K349" t="s">
        <v>10</v>
      </c>
    </row>
    <row r="350" spans="1:11">
      <c r="A350" s="123">
        <v>252765</v>
      </c>
      <c r="B350" s="162">
        <v>46083</v>
      </c>
      <c r="C350" s="1" t="s">
        <v>137</v>
      </c>
      <c r="D350" s="128">
        <v>1</v>
      </c>
      <c r="E350" s="194" t="s">
        <v>449</v>
      </c>
      <c r="F350" s="132">
        <v>737</v>
      </c>
      <c r="G350" s="198">
        <v>737</v>
      </c>
      <c r="H350" t="s">
        <v>31</v>
      </c>
      <c r="J350" t="s">
        <v>24</v>
      </c>
      <c r="K350" t="s">
        <v>10</v>
      </c>
    </row>
    <row r="351" spans="1:11">
      <c r="A351" s="123">
        <v>252766</v>
      </c>
      <c r="B351" s="162">
        <v>46083</v>
      </c>
      <c r="C351" s="1" t="s">
        <v>278</v>
      </c>
      <c r="D351" s="128">
        <v>2</v>
      </c>
      <c r="E351" s="194" t="s">
        <v>450</v>
      </c>
      <c r="F351" s="132">
        <v>947</v>
      </c>
      <c r="G351" s="198">
        <v>1894</v>
      </c>
      <c r="H351" t="s">
        <v>26</v>
      </c>
      <c r="J351" t="s">
        <v>24</v>
      </c>
      <c r="K351" t="s">
        <v>10</v>
      </c>
    </row>
    <row r="352" spans="1:11">
      <c r="A352" s="123">
        <v>252766</v>
      </c>
      <c r="B352" s="162">
        <v>46083</v>
      </c>
      <c r="C352" s="1" t="s">
        <v>278</v>
      </c>
      <c r="D352" s="128">
        <v>1</v>
      </c>
      <c r="E352" s="194" t="s">
        <v>451</v>
      </c>
      <c r="F352" s="132">
        <v>2453</v>
      </c>
      <c r="G352" s="198">
        <v>2453</v>
      </c>
      <c r="H352" t="s">
        <v>26</v>
      </c>
      <c r="J352" t="s">
        <v>24</v>
      </c>
      <c r="K352" t="s">
        <v>10</v>
      </c>
    </row>
    <row r="353" spans="1:11">
      <c r="A353" s="123">
        <v>252766</v>
      </c>
      <c r="B353" s="162">
        <v>46083</v>
      </c>
      <c r="C353" s="1" t="s">
        <v>278</v>
      </c>
      <c r="D353" s="128">
        <v>1</v>
      </c>
      <c r="E353" s="194" t="s">
        <v>452</v>
      </c>
      <c r="F353" s="132">
        <v>1637</v>
      </c>
      <c r="G353" s="198">
        <v>1637</v>
      </c>
      <c r="H353" t="s">
        <v>26</v>
      </c>
      <c r="J353" t="s">
        <v>24</v>
      </c>
      <c r="K353" t="s">
        <v>10</v>
      </c>
    </row>
    <row r="354" spans="1:11">
      <c r="A354" s="123">
        <v>252766</v>
      </c>
      <c r="B354" s="162">
        <v>46083</v>
      </c>
      <c r="C354" s="1" t="s">
        <v>278</v>
      </c>
      <c r="D354" s="128">
        <v>2</v>
      </c>
      <c r="E354" s="194" t="s">
        <v>287</v>
      </c>
      <c r="F354" s="132">
        <v>24</v>
      </c>
      <c r="G354" s="198">
        <v>48</v>
      </c>
      <c r="H354" t="s">
        <v>26</v>
      </c>
      <c r="J354" t="s">
        <v>24</v>
      </c>
      <c r="K354" t="s">
        <v>10</v>
      </c>
    </row>
    <row r="355" spans="1:11">
      <c r="A355" s="123">
        <v>252766</v>
      </c>
      <c r="B355" s="162">
        <v>46083</v>
      </c>
      <c r="C355" s="1" t="s">
        <v>278</v>
      </c>
      <c r="D355" s="128">
        <v>1</v>
      </c>
      <c r="E355" s="194" t="s">
        <v>429</v>
      </c>
      <c r="F355" s="132">
        <v>180</v>
      </c>
      <c r="G355" s="198">
        <v>180</v>
      </c>
      <c r="H355" t="s">
        <v>26</v>
      </c>
      <c r="J355" t="s">
        <v>24</v>
      </c>
      <c r="K355" t="s">
        <v>10</v>
      </c>
    </row>
    <row r="356" spans="1:11">
      <c r="A356" s="123">
        <v>252766</v>
      </c>
      <c r="B356" s="162">
        <v>46083</v>
      </c>
      <c r="C356" s="1" t="s">
        <v>278</v>
      </c>
      <c r="D356" s="128">
        <v>1</v>
      </c>
      <c r="E356" s="194" t="s">
        <v>453</v>
      </c>
      <c r="F356" s="132">
        <v>300</v>
      </c>
      <c r="G356" s="198">
        <v>300</v>
      </c>
      <c r="H356" t="s">
        <v>26</v>
      </c>
      <c r="J356" t="s">
        <v>24</v>
      </c>
      <c r="K356" t="s">
        <v>10</v>
      </c>
    </row>
    <row r="357" spans="1:11">
      <c r="A357" s="123">
        <v>252766</v>
      </c>
      <c r="B357" s="162">
        <v>46083</v>
      </c>
      <c r="C357" s="1" t="s">
        <v>278</v>
      </c>
      <c r="D357" s="128">
        <v>2</v>
      </c>
      <c r="E357" s="194" t="s">
        <v>454</v>
      </c>
      <c r="F357" s="132">
        <v>600</v>
      </c>
      <c r="G357" s="198">
        <v>1200</v>
      </c>
      <c r="H357" t="s">
        <v>26</v>
      </c>
      <c r="J357" t="s">
        <v>24</v>
      </c>
      <c r="K357" t="s">
        <v>10</v>
      </c>
    </row>
    <row r="358" spans="1:11">
      <c r="A358" s="123">
        <v>252767</v>
      </c>
      <c r="B358" s="162">
        <v>46083</v>
      </c>
      <c r="C358" s="1" t="s">
        <v>455</v>
      </c>
      <c r="D358" s="128">
        <v>1</v>
      </c>
      <c r="E358" s="194" t="s">
        <v>408</v>
      </c>
      <c r="F358" s="132">
        <v>846</v>
      </c>
      <c r="G358" s="198">
        <v>846</v>
      </c>
      <c r="H358" t="s">
        <v>26</v>
      </c>
      <c r="J358" t="s">
        <v>24</v>
      </c>
      <c r="K358" t="s">
        <v>10</v>
      </c>
    </row>
    <row r="359" spans="1:11">
      <c r="A359" s="123">
        <v>252767</v>
      </c>
      <c r="B359" s="162">
        <v>46083</v>
      </c>
      <c r="C359" s="1" t="s">
        <v>455</v>
      </c>
      <c r="D359" s="128">
        <v>1</v>
      </c>
      <c r="E359" s="194" t="s">
        <v>407</v>
      </c>
      <c r="F359" s="132">
        <v>955</v>
      </c>
      <c r="G359" s="198">
        <v>955</v>
      </c>
      <c r="H359" t="s">
        <v>26</v>
      </c>
      <c r="J359" t="s">
        <v>24</v>
      </c>
      <c r="K359" t="s">
        <v>10</v>
      </c>
    </row>
    <row r="360" spans="1:11">
      <c r="A360" s="123">
        <v>252768</v>
      </c>
      <c r="B360" s="162">
        <v>46085</v>
      </c>
      <c r="C360" s="1" t="s">
        <v>89</v>
      </c>
      <c r="D360" s="128">
        <v>1</v>
      </c>
      <c r="E360" s="194" t="s">
        <v>456</v>
      </c>
      <c r="F360" s="132">
        <v>1680</v>
      </c>
      <c r="G360" s="198">
        <v>1680</v>
      </c>
      <c r="H360" t="s">
        <v>31</v>
      </c>
      <c r="J360" t="s">
        <v>24</v>
      </c>
      <c r="K360" t="s">
        <v>10</v>
      </c>
    </row>
    <row r="361" spans="1:11">
      <c r="A361" s="123">
        <v>252769</v>
      </c>
      <c r="B361" s="162">
        <v>46086</v>
      </c>
      <c r="C361" s="1" t="s">
        <v>241</v>
      </c>
      <c r="D361" s="128">
        <v>3</v>
      </c>
      <c r="E361" s="194" t="s">
        <v>457</v>
      </c>
      <c r="F361" s="132">
        <v>663</v>
      </c>
      <c r="G361" s="198">
        <v>1989</v>
      </c>
      <c r="H361" t="s">
        <v>31</v>
      </c>
      <c r="J361" t="s">
        <v>24</v>
      </c>
      <c r="K361" t="s">
        <v>10</v>
      </c>
    </row>
    <row r="362" spans="1:11">
      <c r="A362" s="123">
        <v>252769</v>
      </c>
      <c r="B362" s="162">
        <v>46086</v>
      </c>
      <c r="C362" s="1" t="s">
        <v>241</v>
      </c>
      <c r="D362" s="128">
        <v>2</v>
      </c>
      <c r="E362" s="194" t="s">
        <v>458</v>
      </c>
      <c r="F362" s="132">
        <v>350</v>
      </c>
      <c r="G362" s="198">
        <v>700</v>
      </c>
      <c r="H362" t="s">
        <v>31</v>
      </c>
      <c r="J362" t="s">
        <v>24</v>
      </c>
      <c r="K362" t="s">
        <v>10</v>
      </c>
    </row>
    <row r="363" spans="1:11">
      <c r="A363" s="123">
        <v>252770</v>
      </c>
      <c r="B363" s="162">
        <v>46087</v>
      </c>
      <c r="C363" s="1" t="s">
        <v>278</v>
      </c>
      <c r="D363" s="128">
        <v>1</v>
      </c>
      <c r="E363" s="194" t="s">
        <v>459</v>
      </c>
      <c r="F363" s="132">
        <v>12126</v>
      </c>
      <c r="G363" s="198">
        <v>12100</v>
      </c>
      <c r="H363" t="s">
        <v>31</v>
      </c>
      <c r="J363" t="s">
        <v>24</v>
      </c>
      <c r="K363" t="s">
        <v>10</v>
      </c>
    </row>
    <row r="364" spans="1:11">
      <c r="A364" s="123">
        <v>252771</v>
      </c>
      <c r="B364" s="162">
        <v>46087</v>
      </c>
      <c r="C364" s="1" t="s">
        <v>460</v>
      </c>
      <c r="D364" s="128">
        <v>1</v>
      </c>
      <c r="E364" s="194" t="s">
        <v>461</v>
      </c>
      <c r="F364" s="132">
        <v>6830</v>
      </c>
      <c r="G364" s="198">
        <v>6830</v>
      </c>
      <c r="H364" t="s">
        <v>31</v>
      </c>
      <c r="J364" t="s">
        <v>24</v>
      </c>
      <c r="K364" t="s">
        <v>10</v>
      </c>
    </row>
    <row r="365" spans="1:11">
      <c r="A365" s="123">
        <v>252774</v>
      </c>
      <c r="B365" s="162">
        <v>46099</v>
      </c>
      <c r="C365" s="1" t="s">
        <v>217</v>
      </c>
      <c r="D365" s="128">
        <v>3</v>
      </c>
      <c r="E365" s="115" t="s">
        <v>462</v>
      </c>
      <c r="F365" s="132">
        <v>860</v>
      </c>
      <c r="G365" s="133">
        <v>2580</v>
      </c>
      <c r="H365" t="s">
        <v>31</v>
      </c>
      <c r="J365" t="s">
        <v>24</v>
      </c>
      <c r="K365" t="s">
        <v>10</v>
      </c>
    </row>
    <row r="366" spans="1:11">
      <c r="A366" s="123">
        <v>252774</v>
      </c>
      <c r="B366" s="162">
        <v>46099</v>
      </c>
      <c r="C366" s="1" t="s">
        <v>217</v>
      </c>
      <c r="D366" s="128">
        <v>3</v>
      </c>
      <c r="E366" s="115" t="s">
        <v>463</v>
      </c>
      <c r="F366" s="132">
        <v>150</v>
      </c>
      <c r="G366" s="133">
        <v>450</v>
      </c>
      <c r="H366" t="s">
        <v>31</v>
      </c>
      <c r="J366" t="s">
        <v>24</v>
      </c>
      <c r="K366" t="s">
        <v>10</v>
      </c>
    </row>
    <row r="367" spans="1:11">
      <c r="A367" s="123">
        <v>252773</v>
      </c>
      <c r="B367" s="162">
        <v>46099</v>
      </c>
      <c r="C367" s="1" t="s">
        <v>7</v>
      </c>
      <c r="D367" s="128">
        <v>1</v>
      </c>
      <c r="E367" s="115" t="s">
        <v>32</v>
      </c>
      <c r="F367" s="132">
        <v>5254.3</v>
      </c>
      <c r="G367" s="133">
        <v>5254.3</v>
      </c>
      <c r="H367" t="s">
        <v>26</v>
      </c>
      <c r="J367" t="s">
        <v>24</v>
      </c>
      <c r="K367" t="s">
        <v>10</v>
      </c>
    </row>
    <row r="368" spans="1:11">
      <c r="A368" s="123">
        <v>252773</v>
      </c>
      <c r="B368" s="162">
        <v>46099</v>
      </c>
      <c r="C368" s="1" t="s">
        <v>7</v>
      </c>
      <c r="D368" s="128">
        <v>2</v>
      </c>
      <c r="E368" s="115" t="s">
        <v>33</v>
      </c>
      <c r="F368" s="132">
        <v>630</v>
      </c>
      <c r="G368" s="133">
        <v>1260</v>
      </c>
      <c r="H368" t="s">
        <v>26</v>
      </c>
      <c r="J368" t="s">
        <v>24</v>
      </c>
      <c r="K368" t="s">
        <v>10</v>
      </c>
    </row>
    <row r="369" spans="1:15">
      <c r="A369" s="123">
        <v>252773</v>
      </c>
      <c r="B369" s="162">
        <v>46099</v>
      </c>
      <c r="C369" s="1" t="s">
        <v>7</v>
      </c>
      <c r="D369" s="128">
        <v>1</v>
      </c>
      <c r="E369" s="115" t="s">
        <v>34</v>
      </c>
      <c r="F369" s="132">
        <v>800</v>
      </c>
      <c r="G369" s="133">
        <v>800</v>
      </c>
      <c r="H369" t="s">
        <v>26</v>
      </c>
      <c r="J369" t="s">
        <v>24</v>
      </c>
      <c r="K369" t="s">
        <v>10</v>
      </c>
    </row>
    <row r="370" spans="1:15">
      <c r="A370" s="123">
        <v>252773</v>
      </c>
      <c r="B370" s="162">
        <v>46099</v>
      </c>
      <c r="C370" s="1" t="s">
        <v>7</v>
      </c>
      <c r="D370" s="128">
        <v>1</v>
      </c>
      <c r="E370" s="115" t="s">
        <v>32</v>
      </c>
      <c r="F370" s="132">
        <v>4167</v>
      </c>
      <c r="G370" s="133">
        <v>4167</v>
      </c>
      <c r="H370" t="s">
        <v>26</v>
      </c>
      <c r="J370" t="s">
        <v>24</v>
      </c>
      <c r="K370" t="s">
        <v>10</v>
      </c>
    </row>
    <row r="371" spans="1:15">
      <c r="A371" s="123">
        <v>252773</v>
      </c>
      <c r="B371" s="162">
        <v>46099</v>
      </c>
      <c r="C371" s="1" t="s">
        <v>7</v>
      </c>
      <c r="D371" s="128">
        <v>2</v>
      </c>
      <c r="E371" s="115" t="s">
        <v>464</v>
      </c>
      <c r="F371" s="132">
        <v>300</v>
      </c>
      <c r="G371" s="133">
        <v>600</v>
      </c>
      <c r="H371" t="s">
        <v>26</v>
      </c>
      <c r="J371" t="s">
        <v>24</v>
      </c>
      <c r="K371" t="s">
        <v>10</v>
      </c>
    </row>
    <row r="372" spans="1:15">
      <c r="A372" s="123">
        <v>252775</v>
      </c>
      <c r="B372" s="162">
        <v>46100</v>
      </c>
      <c r="C372" s="1" t="s">
        <v>89</v>
      </c>
      <c r="D372" s="128">
        <v>1</v>
      </c>
      <c r="E372" s="194" t="s">
        <v>465</v>
      </c>
      <c r="F372" s="132">
        <v>670</v>
      </c>
      <c r="G372" s="198">
        <v>670</v>
      </c>
      <c r="H372" t="s">
        <v>238</v>
      </c>
      <c r="J372" t="s">
        <v>24</v>
      </c>
      <c r="K372" t="s">
        <v>10</v>
      </c>
    </row>
    <row r="373" spans="1:15">
      <c r="A373" s="123">
        <v>252779</v>
      </c>
      <c r="B373" s="162">
        <v>46107</v>
      </c>
      <c r="C373" s="1" t="s">
        <v>647</v>
      </c>
      <c r="D373" s="128">
        <v>4</v>
      </c>
      <c r="E373" s="115" t="s">
        <v>846</v>
      </c>
      <c r="F373" s="132">
        <v>423.6</v>
      </c>
      <c r="G373" s="133">
        <v>1694.4</v>
      </c>
      <c r="H373" t="s">
        <v>116</v>
      </c>
      <c r="I373" t="s">
        <v>550</v>
      </c>
      <c r="J373" t="s">
        <v>24</v>
      </c>
      <c r="K373" t="s">
        <v>10</v>
      </c>
    </row>
    <row r="374" spans="1:15">
      <c r="A374" s="123">
        <v>252779</v>
      </c>
      <c r="B374" s="162">
        <v>46107</v>
      </c>
      <c r="C374" s="1" t="s">
        <v>647</v>
      </c>
      <c r="E374" s="115"/>
      <c r="G374" s="133">
        <v>0</v>
      </c>
      <c r="H374" t="s">
        <v>116</v>
      </c>
      <c r="I374" t="s">
        <v>550</v>
      </c>
      <c r="J374" t="s">
        <v>24</v>
      </c>
      <c r="K374" t="s">
        <v>10</v>
      </c>
    </row>
    <row r="375" spans="1:15">
      <c r="A375" s="123">
        <v>252780</v>
      </c>
      <c r="B375" s="162">
        <v>46107</v>
      </c>
      <c r="C375" s="1" t="s">
        <v>647</v>
      </c>
      <c r="D375" s="128">
        <v>5</v>
      </c>
      <c r="E375" s="115" t="s">
        <v>847</v>
      </c>
      <c r="F375" s="132">
        <v>300</v>
      </c>
      <c r="G375" s="133">
        <v>1500</v>
      </c>
      <c r="H375" t="s">
        <v>116</v>
      </c>
      <c r="I375" t="s">
        <v>550</v>
      </c>
      <c r="J375" t="s">
        <v>24</v>
      </c>
      <c r="K375" t="s">
        <v>10</v>
      </c>
    </row>
    <row r="376" spans="1:15">
      <c r="A376" s="123">
        <v>252780</v>
      </c>
      <c r="B376" s="162">
        <v>46107</v>
      </c>
      <c r="C376" s="1" t="s">
        <v>647</v>
      </c>
      <c r="D376" s="128">
        <v>3</v>
      </c>
      <c r="E376" s="115" t="s">
        <v>174</v>
      </c>
      <c r="F376" s="132">
        <v>65</v>
      </c>
      <c r="G376" s="133">
        <v>195</v>
      </c>
      <c r="H376" t="s">
        <v>116</v>
      </c>
      <c r="I376" t="s">
        <v>550</v>
      </c>
      <c r="J376" t="s">
        <v>24</v>
      </c>
      <c r="K376" t="s">
        <v>10</v>
      </c>
    </row>
    <row r="377" spans="1:15">
      <c r="A377" s="123">
        <v>252780</v>
      </c>
      <c r="B377" s="162">
        <v>46107</v>
      </c>
      <c r="C377" s="1" t="s">
        <v>647</v>
      </c>
      <c r="E377" s="115"/>
      <c r="G377" s="133">
        <v>0</v>
      </c>
      <c r="H377" t="s">
        <v>116</v>
      </c>
      <c r="I377" t="s">
        <v>550</v>
      </c>
      <c r="J377" t="s">
        <v>24</v>
      </c>
      <c r="K377" t="s">
        <v>10</v>
      </c>
    </row>
    <row r="378" spans="1:15">
      <c r="A378" s="123">
        <v>252781</v>
      </c>
      <c r="B378" s="162">
        <v>46107</v>
      </c>
      <c r="C378" s="1" t="s">
        <v>647</v>
      </c>
      <c r="D378" s="128">
        <v>2</v>
      </c>
      <c r="E378" s="115" t="s">
        <v>848</v>
      </c>
      <c r="F378" s="132">
        <v>237.45</v>
      </c>
      <c r="G378" s="133">
        <v>474.9</v>
      </c>
      <c r="H378" t="s">
        <v>116</v>
      </c>
      <c r="I378" t="s">
        <v>550</v>
      </c>
      <c r="J378" t="s">
        <v>24</v>
      </c>
      <c r="K378" t="s">
        <v>10</v>
      </c>
    </row>
    <row r="379" spans="1:15">
      <c r="A379" s="123">
        <v>252781</v>
      </c>
      <c r="B379" s="162">
        <v>46107</v>
      </c>
      <c r="C379" s="1" t="s">
        <v>647</v>
      </c>
      <c r="D379" s="128">
        <v>20</v>
      </c>
      <c r="E379" s="115" t="s">
        <v>849</v>
      </c>
      <c r="F379" s="132">
        <v>18.600000000000001</v>
      </c>
      <c r="G379" s="133">
        <v>372</v>
      </c>
      <c r="H379" t="s">
        <v>116</v>
      </c>
      <c r="I379" t="s">
        <v>550</v>
      </c>
      <c r="J379" t="s">
        <v>24</v>
      </c>
      <c r="K379" t="s">
        <v>10</v>
      </c>
    </row>
    <row r="380" spans="1:15">
      <c r="A380" s="123">
        <v>252781</v>
      </c>
      <c r="B380" s="162">
        <v>46107</v>
      </c>
      <c r="C380" s="1" t="s">
        <v>647</v>
      </c>
      <c r="E380" s="115"/>
      <c r="G380" s="133">
        <v>0</v>
      </c>
      <c r="H380" t="s">
        <v>116</v>
      </c>
      <c r="I380" t="s">
        <v>550</v>
      </c>
      <c r="J380" t="s">
        <v>24</v>
      </c>
      <c r="K380" t="s">
        <v>10</v>
      </c>
    </row>
    <row r="381" spans="1:15">
      <c r="A381" s="199">
        <v>252782</v>
      </c>
      <c r="B381" s="200">
        <v>46107</v>
      </c>
      <c r="C381" s="201" t="s">
        <v>647</v>
      </c>
      <c r="D381" s="202">
        <v>2</v>
      </c>
      <c r="E381" s="203" t="s">
        <v>848</v>
      </c>
      <c r="F381" s="204">
        <v>237.45</v>
      </c>
      <c r="G381" s="149">
        <v>474.9</v>
      </c>
      <c r="H381" s="68" t="s">
        <v>116</v>
      </c>
      <c r="I381" s="68" t="s">
        <v>550</v>
      </c>
      <c r="J381" s="68" t="s">
        <v>24</v>
      </c>
      <c r="K381" s="68" t="s">
        <v>10</v>
      </c>
      <c r="L381" s="68"/>
      <c r="M381" s="68"/>
      <c r="N381" s="68"/>
      <c r="O381" s="68"/>
    </row>
    <row r="382" spans="1:15">
      <c r="A382" s="199">
        <v>252782</v>
      </c>
      <c r="B382" s="200">
        <v>46107</v>
      </c>
      <c r="C382" s="201" t="s">
        <v>647</v>
      </c>
      <c r="D382" s="202">
        <v>20</v>
      </c>
      <c r="E382" s="203" t="s">
        <v>849</v>
      </c>
      <c r="F382" s="204">
        <v>18.600000000000001</v>
      </c>
      <c r="G382" s="149">
        <v>372</v>
      </c>
      <c r="H382" s="68" t="s">
        <v>116</v>
      </c>
      <c r="I382" s="68" t="s">
        <v>550</v>
      </c>
      <c r="J382" s="68" t="s">
        <v>24</v>
      </c>
      <c r="K382" s="68" t="s">
        <v>10</v>
      </c>
      <c r="L382" s="68"/>
      <c r="M382" s="68"/>
      <c r="N382" s="68"/>
      <c r="O382" s="68"/>
    </row>
    <row r="383" spans="1:15">
      <c r="A383" s="123">
        <v>252783</v>
      </c>
      <c r="B383" s="162">
        <v>46107</v>
      </c>
      <c r="C383" s="1" t="s">
        <v>647</v>
      </c>
      <c r="D383" s="128">
        <v>4</v>
      </c>
      <c r="E383" s="194" t="s">
        <v>850</v>
      </c>
      <c r="F383" s="132">
        <v>423.5</v>
      </c>
      <c r="G383" s="198">
        <v>1694</v>
      </c>
      <c r="H383" t="s">
        <v>116</v>
      </c>
      <c r="I383" t="s">
        <v>550</v>
      </c>
      <c r="J383" t="s">
        <v>24</v>
      </c>
      <c r="K383" t="s">
        <v>10</v>
      </c>
    </row>
    <row r="384" spans="1:15">
      <c r="A384" s="123">
        <v>252783</v>
      </c>
      <c r="B384" s="162">
        <v>46107</v>
      </c>
      <c r="C384" s="1" t="s">
        <v>647</v>
      </c>
      <c r="E384" s="194"/>
      <c r="G384" s="198">
        <v>0</v>
      </c>
      <c r="H384" t="s">
        <v>116</v>
      </c>
      <c r="I384" t="s">
        <v>550</v>
      </c>
      <c r="J384" t="s">
        <v>24</v>
      </c>
      <c r="K384" t="s">
        <v>10</v>
      </c>
    </row>
    <row r="385" spans="1:11">
      <c r="A385" s="123">
        <v>252784</v>
      </c>
      <c r="B385" s="162">
        <v>46107</v>
      </c>
      <c r="C385" s="1" t="s">
        <v>647</v>
      </c>
      <c r="D385" s="128">
        <v>3</v>
      </c>
      <c r="E385" s="194" t="s">
        <v>850</v>
      </c>
      <c r="F385" s="132">
        <v>423.5</v>
      </c>
      <c r="G385" s="198">
        <v>1270.5</v>
      </c>
      <c r="H385" t="s">
        <v>116</v>
      </c>
      <c r="I385" t="s">
        <v>550</v>
      </c>
      <c r="J385" t="s">
        <v>24</v>
      </c>
      <c r="K385" t="s">
        <v>10</v>
      </c>
    </row>
    <row r="386" spans="1:11">
      <c r="A386" s="123">
        <v>252784</v>
      </c>
      <c r="B386" s="162">
        <v>46107</v>
      </c>
      <c r="C386" s="1" t="s">
        <v>647</v>
      </c>
      <c r="D386" s="128">
        <v>6</v>
      </c>
      <c r="E386" s="194" t="s">
        <v>851</v>
      </c>
      <c r="F386" s="132">
        <v>31.3</v>
      </c>
      <c r="G386" s="198">
        <v>187.8</v>
      </c>
      <c r="H386" t="s">
        <v>116</v>
      </c>
      <c r="I386" t="s">
        <v>550</v>
      </c>
      <c r="J386" t="s">
        <v>24</v>
      </c>
      <c r="K386" t="s">
        <v>10</v>
      </c>
    </row>
    <row r="387" spans="1:11">
      <c r="A387" s="123">
        <v>252784</v>
      </c>
      <c r="B387" s="162">
        <v>46107</v>
      </c>
      <c r="C387" s="1" t="s">
        <v>647</v>
      </c>
      <c r="D387" s="128">
        <v>1</v>
      </c>
      <c r="E387" s="194" t="s">
        <v>852</v>
      </c>
      <c r="F387" s="132">
        <v>237</v>
      </c>
      <c r="G387" s="198">
        <v>237</v>
      </c>
      <c r="H387" t="s">
        <v>116</v>
      </c>
      <c r="I387" t="s">
        <v>550</v>
      </c>
      <c r="J387" t="s">
        <v>24</v>
      </c>
      <c r="K387" t="s">
        <v>10</v>
      </c>
    </row>
    <row r="388" spans="1:11">
      <c r="A388" s="123">
        <v>252784</v>
      </c>
      <c r="B388" s="162">
        <v>46107</v>
      </c>
      <c r="C388" s="1" t="s">
        <v>647</v>
      </c>
      <c r="E388" s="194"/>
      <c r="G388" s="198">
        <v>0</v>
      </c>
      <c r="H388" t="s">
        <v>116</v>
      </c>
      <c r="I388" t="s">
        <v>550</v>
      </c>
      <c r="J388" t="s">
        <v>24</v>
      </c>
      <c r="K388" t="s">
        <v>10</v>
      </c>
    </row>
    <row r="389" spans="1:11">
      <c r="A389" s="123">
        <v>252785</v>
      </c>
      <c r="B389" s="162">
        <v>46107</v>
      </c>
      <c r="C389" s="1" t="s">
        <v>647</v>
      </c>
      <c r="D389" s="128">
        <v>4</v>
      </c>
      <c r="E389" s="194" t="s">
        <v>853</v>
      </c>
      <c r="F389" s="132">
        <v>423.6</v>
      </c>
      <c r="G389" s="198">
        <v>1694.4</v>
      </c>
      <c r="H389" t="s">
        <v>116</v>
      </c>
      <c r="I389" t="s">
        <v>550</v>
      </c>
      <c r="J389" t="s">
        <v>24</v>
      </c>
      <c r="K389" t="s">
        <v>10</v>
      </c>
    </row>
    <row r="390" spans="1:11">
      <c r="A390" s="123">
        <v>252785</v>
      </c>
      <c r="B390" s="162">
        <v>46107</v>
      </c>
      <c r="C390" s="1" t="s">
        <v>647</v>
      </c>
      <c r="E390" s="194"/>
      <c r="G390" s="198">
        <v>0</v>
      </c>
      <c r="H390" t="s">
        <v>116</v>
      </c>
      <c r="I390" t="s">
        <v>550</v>
      </c>
      <c r="J390" t="s">
        <v>24</v>
      </c>
      <c r="K390" t="s">
        <v>10</v>
      </c>
    </row>
    <row r="391" spans="1:11">
      <c r="A391" s="123">
        <v>252786</v>
      </c>
      <c r="B391" s="162">
        <v>46107</v>
      </c>
      <c r="C391" s="1" t="s">
        <v>647</v>
      </c>
      <c r="D391" s="128">
        <v>4</v>
      </c>
      <c r="E391" s="194" t="s">
        <v>854</v>
      </c>
      <c r="F391" s="132">
        <v>423.6</v>
      </c>
      <c r="G391" s="198">
        <v>1694.4</v>
      </c>
      <c r="H391" t="s">
        <v>116</v>
      </c>
      <c r="I391" t="s">
        <v>550</v>
      </c>
      <c r="J391" t="s">
        <v>24</v>
      </c>
      <c r="K391" t="s">
        <v>10</v>
      </c>
    </row>
    <row r="392" spans="1:11">
      <c r="A392" s="123">
        <v>252786</v>
      </c>
      <c r="B392" s="162">
        <v>46107</v>
      </c>
      <c r="C392" s="1" t="s">
        <v>647</v>
      </c>
      <c r="E392" s="194"/>
      <c r="G392" s="198">
        <v>0</v>
      </c>
      <c r="H392" t="s">
        <v>116</v>
      </c>
      <c r="I392" t="s">
        <v>550</v>
      </c>
      <c r="J392" t="s">
        <v>24</v>
      </c>
      <c r="K392" t="s">
        <v>10</v>
      </c>
    </row>
    <row r="393" spans="1:11">
      <c r="A393" s="123">
        <v>252787</v>
      </c>
      <c r="B393" s="162">
        <v>46107</v>
      </c>
      <c r="C393" s="1" t="s">
        <v>647</v>
      </c>
      <c r="D393" s="128">
        <v>1</v>
      </c>
      <c r="E393" s="194" t="s">
        <v>855</v>
      </c>
      <c r="F393" s="132">
        <v>423.6</v>
      </c>
      <c r="G393" s="198">
        <v>423.6</v>
      </c>
      <c r="H393" t="s">
        <v>116</v>
      </c>
      <c r="I393" t="s">
        <v>550</v>
      </c>
      <c r="J393" t="s">
        <v>24</v>
      </c>
      <c r="K393" t="s">
        <v>10</v>
      </c>
    </row>
    <row r="394" spans="1:11">
      <c r="A394" s="123">
        <v>252787</v>
      </c>
      <c r="B394" s="162">
        <v>46107</v>
      </c>
      <c r="C394" s="1" t="s">
        <v>647</v>
      </c>
      <c r="E394" s="194"/>
      <c r="G394" s="198">
        <v>0</v>
      </c>
      <c r="H394" t="s">
        <v>116</v>
      </c>
      <c r="I394" t="s">
        <v>550</v>
      </c>
      <c r="J394" t="s">
        <v>24</v>
      </c>
      <c r="K394" t="s">
        <v>10</v>
      </c>
    </row>
    <row r="395" spans="1:11">
      <c r="A395" s="123">
        <v>252788</v>
      </c>
      <c r="B395" s="162">
        <v>46107</v>
      </c>
      <c r="C395" s="1" t="s">
        <v>647</v>
      </c>
      <c r="D395" s="128">
        <v>2</v>
      </c>
      <c r="E395" s="194" t="s">
        <v>856</v>
      </c>
      <c r="F395" s="132">
        <v>212</v>
      </c>
      <c r="G395" s="198">
        <v>424</v>
      </c>
      <c r="H395" t="s">
        <v>116</v>
      </c>
      <c r="I395" t="s">
        <v>550</v>
      </c>
      <c r="J395" t="s">
        <v>24</v>
      </c>
      <c r="K395" t="s">
        <v>10</v>
      </c>
    </row>
    <row r="396" spans="1:11">
      <c r="A396" s="123">
        <v>252788</v>
      </c>
      <c r="B396" s="162">
        <v>46107</v>
      </c>
      <c r="C396" s="1" t="s">
        <v>647</v>
      </c>
      <c r="E396" s="194"/>
      <c r="G396" s="198">
        <v>0</v>
      </c>
      <c r="H396" t="s">
        <v>116</v>
      </c>
      <c r="I396" t="s">
        <v>550</v>
      </c>
      <c r="J396" t="s">
        <v>24</v>
      </c>
      <c r="K396" t="s">
        <v>10</v>
      </c>
    </row>
    <row r="397" spans="1:11">
      <c r="A397" s="123">
        <v>2627418</v>
      </c>
      <c r="B397" s="162">
        <v>46150</v>
      </c>
      <c r="C397" s="1" t="s">
        <v>647</v>
      </c>
      <c r="D397" s="128">
        <v>1</v>
      </c>
      <c r="E397" s="194" t="s">
        <v>858</v>
      </c>
      <c r="F397" s="132">
        <v>960</v>
      </c>
      <c r="G397" s="198">
        <v>960</v>
      </c>
      <c r="H397" t="s">
        <v>116</v>
      </c>
      <c r="I397" t="s">
        <v>550</v>
      </c>
      <c r="J397" t="s">
        <v>24</v>
      </c>
      <c r="K397" t="s">
        <v>10</v>
      </c>
    </row>
    <row r="398" spans="1:11">
      <c r="A398" s="123">
        <v>2627418</v>
      </c>
      <c r="B398" s="162">
        <v>46150</v>
      </c>
      <c r="C398" s="1" t="s">
        <v>647</v>
      </c>
      <c r="D398" s="128">
        <v>1</v>
      </c>
      <c r="E398" s="194" t="s">
        <v>859</v>
      </c>
      <c r="F398" s="132">
        <v>280</v>
      </c>
      <c r="G398" s="198">
        <v>280</v>
      </c>
      <c r="H398" t="s">
        <v>116</v>
      </c>
      <c r="I398" t="s">
        <v>550</v>
      </c>
      <c r="J398" t="s">
        <v>24</v>
      </c>
      <c r="K398" t="s">
        <v>10</v>
      </c>
    </row>
    <row r="399" spans="1:11">
      <c r="A399" s="123">
        <v>2627418</v>
      </c>
      <c r="B399" s="162">
        <v>46150</v>
      </c>
      <c r="C399" s="1" t="s">
        <v>647</v>
      </c>
      <c r="D399" s="128">
        <v>1</v>
      </c>
      <c r="E399" s="194" t="s">
        <v>860</v>
      </c>
      <c r="F399" s="132">
        <v>20</v>
      </c>
      <c r="G399" s="198">
        <v>20</v>
      </c>
      <c r="H399" t="s">
        <v>116</v>
      </c>
      <c r="I399" t="s">
        <v>550</v>
      </c>
      <c r="J399" t="s">
        <v>24</v>
      </c>
      <c r="K399" t="s">
        <v>10</v>
      </c>
    </row>
    <row r="400" spans="1:11">
      <c r="A400" s="123">
        <v>2627418</v>
      </c>
      <c r="B400" s="162">
        <v>46150</v>
      </c>
      <c r="C400" s="1" t="s">
        <v>647</v>
      </c>
      <c r="D400" s="128">
        <v>1</v>
      </c>
      <c r="E400" s="194" t="s">
        <v>861</v>
      </c>
      <c r="F400" s="132">
        <v>500</v>
      </c>
      <c r="G400" s="198">
        <v>500</v>
      </c>
      <c r="H400" t="s">
        <v>116</v>
      </c>
      <c r="I400" t="s">
        <v>550</v>
      </c>
      <c r="J400" t="s">
        <v>24</v>
      </c>
      <c r="K400" t="s">
        <v>10</v>
      </c>
    </row>
    <row r="401" spans="1:11">
      <c r="A401" s="123">
        <v>2627418</v>
      </c>
      <c r="B401" s="162">
        <v>46150</v>
      </c>
      <c r="C401" s="1" t="s">
        <v>647</v>
      </c>
      <c r="E401" s="194"/>
      <c r="G401" s="198">
        <v>0</v>
      </c>
      <c r="H401" t="s">
        <v>116</v>
      </c>
      <c r="I401" t="s">
        <v>550</v>
      </c>
      <c r="J401" t="s">
        <v>24</v>
      </c>
      <c r="K401" t="s">
        <v>10</v>
      </c>
    </row>
    <row r="402" spans="1:11">
      <c r="A402" s="123">
        <v>2627413</v>
      </c>
      <c r="B402" s="162">
        <v>46150</v>
      </c>
      <c r="C402" s="1" t="s">
        <v>647</v>
      </c>
      <c r="D402" s="128">
        <v>1</v>
      </c>
      <c r="E402" s="194" t="s">
        <v>864</v>
      </c>
      <c r="F402" s="132">
        <v>460</v>
      </c>
      <c r="G402" s="198">
        <v>460</v>
      </c>
      <c r="H402" t="s">
        <v>31</v>
      </c>
      <c r="I402" t="s">
        <v>550</v>
      </c>
      <c r="J402" t="s">
        <v>24</v>
      </c>
      <c r="K402" t="s">
        <v>10</v>
      </c>
    </row>
    <row r="403" spans="1:11">
      <c r="A403" s="123">
        <v>2627414</v>
      </c>
      <c r="B403" s="162">
        <v>46150</v>
      </c>
      <c r="C403" s="1" t="s">
        <v>647</v>
      </c>
      <c r="D403" s="128">
        <v>1</v>
      </c>
      <c r="E403" s="194" t="s">
        <v>865</v>
      </c>
      <c r="F403" s="132">
        <v>280</v>
      </c>
      <c r="G403" s="198">
        <v>280</v>
      </c>
      <c r="H403" t="s">
        <v>31</v>
      </c>
      <c r="I403" t="s">
        <v>550</v>
      </c>
      <c r="J403" t="s">
        <v>24</v>
      </c>
      <c r="K403" t="s">
        <v>10</v>
      </c>
    </row>
    <row r="404" spans="1:11">
      <c r="A404" s="123">
        <v>2627414</v>
      </c>
      <c r="B404" s="162">
        <v>46150</v>
      </c>
      <c r="C404" s="1" t="s">
        <v>647</v>
      </c>
      <c r="D404" s="128">
        <v>1</v>
      </c>
      <c r="E404" s="194" t="s">
        <v>866</v>
      </c>
      <c r="F404" s="132">
        <v>220</v>
      </c>
      <c r="G404" s="198">
        <v>220</v>
      </c>
      <c r="H404" t="s">
        <v>31</v>
      </c>
      <c r="I404" t="s">
        <v>550</v>
      </c>
      <c r="J404" t="s">
        <v>24</v>
      </c>
      <c r="K404" t="s">
        <v>10</v>
      </c>
    </row>
    <row r="405" spans="1:11">
      <c r="A405" s="123">
        <v>2627415</v>
      </c>
      <c r="B405" s="162">
        <v>46150</v>
      </c>
      <c r="C405" s="1" t="s">
        <v>647</v>
      </c>
      <c r="D405" s="128">
        <v>1</v>
      </c>
      <c r="E405" s="194" t="s">
        <v>867</v>
      </c>
      <c r="F405" s="132">
        <v>450</v>
      </c>
      <c r="G405" s="198">
        <v>450</v>
      </c>
      <c r="H405" t="s">
        <v>31</v>
      </c>
      <c r="I405" t="s">
        <v>550</v>
      </c>
      <c r="J405" t="s">
        <v>24</v>
      </c>
      <c r="K405" t="s">
        <v>10</v>
      </c>
    </row>
    <row r="406" spans="1:11">
      <c r="A406" s="123">
        <v>2627416</v>
      </c>
      <c r="B406" s="162">
        <v>46150</v>
      </c>
      <c r="C406" s="1" t="s">
        <v>647</v>
      </c>
      <c r="D406" s="128">
        <v>1</v>
      </c>
      <c r="E406" s="194" t="s">
        <v>868</v>
      </c>
      <c r="F406" s="132">
        <v>500</v>
      </c>
      <c r="G406" s="198">
        <v>500</v>
      </c>
      <c r="H406" t="s">
        <v>31</v>
      </c>
      <c r="I406" t="s">
        <v>550</v>
      </c>
      <c r="J406" t="s">
        <v>24</v>
      </c>
      <c r="K406" t="s">
        <v>10</v>
      </c>
    </row>
    <row r="407" spans="1:11">
      <c r="A407" s="123">
        <v>2627417</v>
      </c>
      <c r="B407" s="162">
        <v>46150</v>
      </c>
      <c r="C407" s="1" t="s">
        <v>647</v>
      </c>
      <c r="D407" s="128">
        <v>1</v>
      </c>
      <c r="E407" s="115" t="s">
        <v>869</v>
      </c>
      <c r="F407" s="132">
        <v>500</v>
      </c>
      <c r="G407" s="133">
        <v>500</v>
      </c>
      <c r="H407" t="s">
        <v>31</v>
      </c>
      <c r="I407" t="s">
        <v>550</v>
      </c>
      <c r="J407" t="s">
        <v>24</v>
      </c>
      <c r="K407" t="s">
        <v>10</v>
      </c>
    </row>
  </sheetData>
  <pageMargins left="0.7" right="0.7" top="0.75" bottom="0.75" header="0.3" footer="0.3"/>
  <pageSetup paperSize="5" scale="45" fitToHeight="0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2:M132"/>
  <sheetViews>
    <sheetView topLeftCell="A19" workbookViewId="0">
      <selection activeCell="A53" sqref="A53"/>
    </sheetView>
  </sheetViews>
  <sheetFormatPr defaultRowHeight="15"/>
  <cols>
    <col min="1" max="1" width="9.140625" style="129"/>
    <col min="2" max="2" width="56" bestFit="1" customWidth="1"/>
    <col min="3" max="3" width="17.7109375" customWidth="1"/>
    <col min="4" max="4" width="23" customWidth="1"/>
    <col min="5" max="5" width="26.85546875" customWidth="1"/>
    <col min="6" max="6" width="19" bestFit="1" customWidth="1"/>
    <col min="7" max="7" width="22" customWidth="1"/>
    <col min="8" max="9" width="36.28515625" customWidth="1"/>
    <col min="10" max="10" width="9.140625" style="137"/>
  </cols>
  <sheetData>
    <row r="2" spans="1:10" ht="23.25">
      <c r="A2" s="126"/>
      <c r="B2" s="13" t="s">
        <v>466</v>
      </c>
      <c r="C2" s="14"/>
      <c r="D2" s="14"/>
      <c r="E2" s="14"/>
      <c r="F2" s="14"/>
      <c r="G2" s="12"/>
    </row>
    <row r="4" spans="1:10">
      <c r="A4" s="127" t="s">
        <v>467</v>
      </c>
      <c r="B4" s="7" t="s">
        <v>69</v>
      </c>
      <c r="C4" s="7" t="s">
        <v>468</v>
      </c>
      <c r="D4" s="7" t="s">
        <v>469</v>
      </c>
      <c r="E4" s="7" t="s">
        <v>470</v>
      </c>
      <c r="F4" s="7" t="s">
        <v>471</v>
      </c>
      <c r="G4" s="7" t="s">
        <v>472</v>
      </c>
      <c r="H4" s="7" t="s">
        <v>473</v>
      </c>
      <c r="I4" s="7" t="s">
        <v>474</v>
      </c>
    </row>
    <row r="5" spans="1:10">
      <c r="A5" s="128">
        <v>1</v>
      </c>
      <c r="B5" t="s">
        <v>89</v>
      </c>
      <c r="J5" s="137">
        <f>LEN(I5)</f>
        <v>0</v>
      </c>
    </row>
    <row r="6" spans="1:10">
      <c r="A6" s="128">
        <v>2</v>
      </c>
      <c r="B6" t="s">
        <v>383</v>
      </c>
      <c r="C6" t="s">
        <v>475</v>
      </c>
      <c r="D6" t="s">
        <v>476</v>
      </c>
      <c r="E6" t="s">
        <v>477</v>
      </c>
      <c r="F6" s="138" t="s">
        <v>478</v>
      </c>
      <c r="H6" t="s">
        <v>479</v>
      </c>
      <c r="I6" s="136"/>
      <c r="J6" s="137">
        <f t="shared" ref="J6:J19" si="0">LEN(I6)</f>
        <v>0</v>
      </c>
    </row>
    <row r="7" spans="1:10">
      <c r="A7" s="128">
        <v>3</v>
      </c>
      <c r="B7" t="s">
        <v>480</v>
      </c>
      <c r="D7" t="s">
        <v>15</v>
      </c>
      <c r="E7" t="s">
        <v>15</v>
      </c>
      <c r="F7" s="138"/>
      <c r="I7" s="136"/>
    </row>
    <row r="8" spans="1:10">
      <c r="A8" s="128">
        <v>4</v>
      </c>
      <c r="B8" t="s">
        <v>95</v>
      </c>
      <c r="C8" t="s">
        <v>481</v>
      </c>
      <c r="D8" t="s">
        <v>482</v>
      </c>
      <c r="E8" t="s">
        <v>483</v>
      </c>
      <c r="F8" s="138">
        <v>9816027921</v>
      </c>
      <c r="G8" s="8" t="s">
        <v>484</v>
      </c>
      <c r="H8" t="s">
        <v>485</v>
      </c>
      <c r="J8" s="137">
        <f t="shared" si="0"/>
        <v>0</v>
      </c>
    </row>
    <row r="9" spans="1:10">
      <c r="A9" s="128">
        <v>5</v>
      </c>
      <c r="B9" t="s">
        <v>392</v>
      </c>
      <c r="C9" t="s">
        <v>486</v>
      </c>
      <c r="D9" t="s">
        <v>487</v>
      </c>
      <c r="E9" t="s">
        <v>15</v>
      </c>
      <c r="F9" s="138"/>
      <c r="G9" s="8"/>
      <c r="J9" s="137">
        <f t="shared" si="0"/>
        <v>0</v>
      </c>
    </row>
    <row r="10" spans="1:10">
      <c r="A10" s="128">
        <v>6</v>
      </c>
      <c r="B10" s="68" t="s">
        <v>488</v>
      </c>
      <c r="C10" t="s">
        <v>486</v>
      </c>
      <c r="D10" t="s">
        <v>489</v>
      </c>
      <c r="E10" t="s">
        <v>490</v>
      </c>
      <c r="F10" s="138"/>
      <c r="G10" s="8"/>
      <c r="H10" t="s">
        <v>491</v>
      </c>
      <c r="J10" s="137">
        <f t="shared" si="0"/>
        <v>0</v>
      </c>
    </row>
    <row r="11" spans="1:10">
      <c r="A11" s="128">
        <v>7</v>
      </c>
      <c r="B11" s="68" t="s">
        <v>82</v>
      </c>
      <c r="C11" t="s">
        <v>492</v>
      </c>
      <c r="D11" t="s">
        <v>493</v>
      </c>
      <c r="E11" t="s">
        <v>494</v>
      </c>
      <c r="F11" s="138"/>
      <c r="H11" t="s">
        <v>491</v>
      </c>
      <c r="J11" s="137">
        <f t="shared" si="0"/>
        <v>0</v>
      </c>
    </row>
    <row r="12" spans="1:10">
      <c r="A12" s="128">
        <v>8</v>
      </c>
      <c r="B12" s="68" t="s">
        <v>101</v>
      </c>
      <c r="C12" s="68" t="s">
        <v>492</v>
      </c>
      <c r="D12" s="68" t="s">
        <v>495</v>
      </c>
      <c r="E12" s="68" t="s">
        <v>496</v>
      </c>
      <c r="F12" s="138"/>
      <c r="G12" s="68"/>
      <c r="H12" t="s">
        <v>491</v>
      </c>
      <c r="J12" s="137">
        <f t="shared" si="0"/>
        <v>0</v>
      </c>
    </row>
    <row r="13" spans="1:10">
      <c r="A13" s="128">
        <v>9</v>
      </c>
      <c r="B13" s="68" t="s">
        <v>497</v>
      </c>
      <c r="C13" s="68" t="s">
        <v>498</v>
      </c>
      <c r="D13" s="68" t="s">
        <v>498</v>
      </c>
      <c r="E13" s="68" t="s">
        <v>498</v>
      </c>
      <c r="F13" s="138"/>
      <c r="G13" s="68"/>
      <c r="H13" s="68"/>
      <c r="I13" t="s">
        <v>499</v>
      </c>
      <c r="J13" s="137">
        <f t="shared" si="0"/>
        <v>15</v>
      </c>
    </row>
    <row r="14" spans="1:10">
      <c r="A14" s="128">
        <v>10</v>
      </c>
      <c r="B14" t="s">
        <v>447</v>
      </c>
      <c r="C14" t="s">
        <v>498</v>
      </c>
      <c r="D14" t="s">
        <v>498</v>
      </c>
      <c r="E14" t="s">
        <v>498</v>
      </c>
      <c r="F14" s="138"/>
      <c r="J14" s="137">
        <f t="shared" si="0"/>
        <v>0</v>
      </c>
    </row>
    <row r="15" spans="1:10">
      <c r="A15" s="128">
        <v>11</v>
      </c>
      <c r="B15" t="s">
        <v>217</v>
      </c>
      <c r="C15" t="s">
        <v>500</v>
      </c>
      <c r="D15" t="s">
        <v>501</v>
      </c>
      <c r="E15" t="s">
        <v>477</v>
      </c>
      <c r="F15" s="138"/>
      <c r="J15" s="137">
        <f t="shared" si="0"/>
        <v>0</v>
      </c>
    </row>
    <row r="16" spans="1:10">
      <c r="A16" s="128">
        <v>12</v>
      </c>
      <c r="B16" s="68" t="s">
        <v>109</v>
      </c>
      <c r="C16" s="68" t="s">
        <v>502</v>
      </c>
      <c r="D16" s="68" t="s">
        <v>503</v>
      </c>
      <c r="E16" s="68" t="s">
        <v>503</v>
      </c>
      <c r="F16" s="138">
        <v>8629833496</v>
      </c>
      <c r="G16" s="68"/>
      <c r="H16" s="68" t="s">
        <v>504</v>
      </c>
      <c r="J16" s="137">
        <f t="shared" si="0"/>
        <v>0</v>
      </c>
    </row>
    <row r="17" spans="1:10">
      <c r="A17" s="128">
        <v>13</v>
      </c>
      <c r="B17" t="s">
        <v>137</v>
      </c>
      <c r="C17" t="s">
        <v>505</v>
      </c>
      <c r="D17" t="s">
        <v>505</v>
      </c>
      <c r="E17" t="s">
        <v>505</v>
      </c>
      <c r="F17" s="138"/>
      <c r="J17" s="137">
        <f t="shared" si="0"/>
        <v>0</v>
      </c>
    </row>
    <row r="18" spans="1:10">
      <c r="A18" s="128">
        <v>14</v>
      </c>
      <c r="B18" s="68" t="s">
        <v>506</v>
      </c>
      <c r="C18" s="68" t="s">
        <v>507</v>
      </c>
      <c r="D18" s="68" t="s">
        <v>507</v>
      </c>
      <c r="E18" s="68" t="s">
        <v>15</v>
      </c>
      <c r="F18" s="138"/>
      <c r="G18" s="68"/>
      <c r="H18" s="68"/>
      <c r="J18" s="137">
        <f t="shared" si="0"/>
        <v>0</v>
      </c>
    </row>
    <row r="19" spans="1:10">
      <c r="A19" s="128">
        <v>15</v>
      </c>
      <c r="B19" t="s">
        <v>97</v>
      </c>
      <c r="C19" t="s">
        <v>15</v>
      </c>
      <c r="D19" t="s">
        <v>15</v>
      </c>
      <c r="E19" t="s">
        <v>477</v>
      </c>
      <c r="F19" s="138"/>
      <c r="I19" t="s">
        <v>99</v>
      </c>
      <c r="J19" s="137">
        <f t="shared" si="0"/>
        <v>15</v>
      </c>
    </row>
    <row r="20" spans="1:10">
      <c r="A20" s="128">
        <v>16</v>
      </c>
      <c r="B20" t="s">
        <v>508</v>
      </c>
      <c r="C20" t="s">
        <v>477</v>
      </c>
      <c r="D20" t="s">
        <v>477</v>
      </c>
      <c r="E20" t="s">
        <v>477</v>
      </c>
      <c r="F20" s="138"/>
    </row>
    <row r="21" spans="1:10">
      <c r="A21" s="128">
        <v>17</v>
      </c>
      <c r="B21" t="s">
        <v>509</v>
      </c>
      <c r="C21" t="s">
        <v>500</v>
      </c>
      <c r="D21" t="s">
        <v>510</v>
      </c>
      <c r="E21" t="s">
        <v>477</v>
      </c>
      <c r="F21" s="138"/>
    </row>
    <row r="22" spans="1:10">
      <c r="A22" s="128">
        <v>18</v>
      </c>
      <c r="B22" t="s">
        <v>221</v>
      </c>
      <c r="D22" t="s">
        <v>511</v>
      </c>
      <c r="E22" t="s">
        <v>512</v>
      </c>
      <c r="F22" s="138"/>
    </row>
    <row r="23" spans="1:10">
      <c r="A23" s="128">
        <v>19</v>
      </c>
      <c r="B23" t="s">
        <v>513</v>
      </c>
      <c r="C23" t="s">
        <v>514</v>
      </c>
      <c r="D23" t="s">
        <v>515</v>
      </c>
      <c r="E23" t="s">
        <v>515</v>
      </c>
      <c r="F23" s="138"/>
    </row>
    <row r="24" spans="1:10">
      <c r="A24" s="128">
        <v>20</v>
      </c>
      <c r="B24" s="68" t="s">
        <v>516</v>
      </c>
      <c r="C24" t="s">
        <v>500</v>
      </c>
      <c r="D24" t="s">
        <v>490</v>
      </c>
      <c r="E24" t="s">
        <v>490</v>
      </c>
      <c r="F24" s="138"/>
    </row>
    <row r="25" spans="1:10">
      <c r="A25" s="128">
        <v>21</v>
      </c>
      <c r="B25" t="s">
        <v>517</v>
      </c>
      <c r="C25" t="s">
        <v>15</v>
      </c>
      <c r="D25" t="s">
        <v>15</v>
      </c>
      <c r="E25" t="s">
        <v>477</v>
      </c>
      <c r="F25" s="138"/>
    </row>
    <row r="26" spans="1:10">
      <c r="A26" s="128">
        <v>22</v>
      </c>
      <c r="B26" s="68" t="s">
        <v>7</v>
      </c>
      <c r="C26" s="68"/>
      <c r="D26" s="68"/>
      <c r="E26" s="68"/>
      <c r="F26" s="138"/>
      <c r="G26" s="68"/>
      <c r="H26" s="68"/>
    </row>
    <row r="27" spans="1:10">
      <c r="A27" s="128">
        <v>23</v>
      </c>
      <c r="B27" t="s">
        <v>513</v>
      </c>
      <c r="F27" s="138"/>
    </row>
    <row r="28" spans="1:10">
      <c r="A28" s="128">
        <v>24</v>
      </c>
      <c r="B28" t="s">
        <v>518</v>
      </c>
      <c r="C28" t="s">
        <v>15</v>
      </c>
      <c r="D28" t="s">
        <v>15</v>
      </c>
      <c r="E28" t="s">
        <v>477</v>
      </c>
      <c r="F28" s="143">
        <v>9816342589</v>
      </c>
      <c r="H28" t="s">
        <v>519</v>
      </c>
    </row>
    <row r="29" spans="1:10">
      <c r="A29" s="128">
        <v>25</v>
      </c>
      <c r="B29" s="68" t="s">
        <v>520</v>
      </c>
      <c r="C29" s="68"/>
      <c r="D29" s="68"/>
      <c r="E29" s="68"/>
      <c r="F29" s="185"/>
      <c r="G29" s="68"/>
      <c r="H29" s="68"/>
    </row>
    <row r="30" spans="1:10">
      <c r="A30" s="128">
        <v>26</v>
      </c>
      <c r="B30" t="s">
        <v>521</v>
      </c>
      <c r="C30" t="s">
        <v>522</v>
      </c>
      <c r="D30" t="s">
        <v>15</v>
      </c>
      <c r="E30" t="s">
        <v>522</v>
      </c>
      <c r="F30" s="143"/>
      <c r="I30" t="s">
        <v>523</v>
      </c>
    </row>
    <row r="31" spans="1:10">
      <c r="A31" s="128">
        <v>27</v>
      </c>
      <c r="B31" t="s">
        <v>524</v>
      </c>
      <c r="C31" t="s">
        <v>15</v>
      </c>
      <c r="D31" t="s">
        <v>15</v>
      </c>
      <c r="E31" t="s">
        <v>15</v>
      </c>
      <c r="F31" s="143"/>
    </row>
    <row r="32" spans="1:10">
      <c r="A32" s="128">
        <v>28</v>
      </c>
      <c r="B32" t="s">
        <v>525</v>
      </c>
      <c r="C32" t="s">
        <v>526</v>
      </c>
      <c r="D32" t="s">
        <v>527</v>
      </c>
      <c r="E32" t="s">
        <v>498</v>
      </c>
      <c r="F32" s="143">
        <v>9418023570</v>
      </c>
      <c r="H32" t="s">
        <v>528</v>
      </c>
    </row>
    <row r="33" spans="1:11">
      <c r="A33" s="128">
        <v>29</v>
      </c>
      <c r="B33" t="s">
        <v>529</v>
      </c>
      <c r="C33" t="s">
        <v>526</v>
      </c>
      <c r="D33" t="s">
        <v>530</v>
      </c>
      <c r="E33" t="s">
        <v>531</v>
      </c>
      <c r="F33" s="143"/>
    </row>
    <row r="34" spans="1:11">
      <c r="A34" s="128">
        <v>30</v>
      </c>
      <c r="B34" t="s">
        <v>141</v>
      </c>
      <c r="C34" t="s">
        <v>532</v>
      </c>
      <c r="D34" t="s">
        <v>533</v>
      </c>
      <c r="E34" t="s">
        <v>477</v>
      </c>
      <c r="F34" s="143"/>
    </row>
    <row r="35" spans="1:11">
      <c r="A35" s="128">
        <v>31</v>
      </c>
      <c r="B35" t="s">
        <v>534</v>
      </c>
      <c r="C35" t="s">
        <v>535</v>
      </c>
      <c r="D35" t="s">
        <v>536</v>
      </c>
      <c r="E35" t="s">
        <v>537</v>
      </c>
      <c r="F35" s="143"/>
      <c r="H35" t="s">
        <v>538</v>
      </c>
    </row>
    <row r="36" spans="1:11">
      <c r="A36" s="128">
        <v>32</v>
      </c>
      <c r="B36" t="s">
        <v>539</v>
      </c>
      <c r="C36" t="s">
        <v>540</v>
      </c>
      <c r="D36" t="s">
        <v>541</v>
      </c>
      <c r="E36" t="s">
        <v>15</v>
      </c>
      <c r="F36" s="143"/>
      <c r="I36" s="65"/>
      <c r="J36" s="137">
        <f t="shared" ref="J36:J99" si="1">LEN(I36)</f>
        <v>0</v>
      </c>
    </row>
    <row r="37" spans="1:11">
      <c r="A37" s="128">
        <v>33</v>
      </c>
      <c r="B37" t="s">
        <v>114</v>
      </c>
      <c r="C37" t="s">
        <v>542</v>
      </c>
      <c r="D37" t="s">
        <v>543</v>
      </c>
      <c r="E37" t="s">
        <v>543</v>
      </c>
      <c r="F37" s="143">
        <v>9646193364</v>
      </c>
      <c r="H37" t="s">
        <v>544</v>
      </c>
      <c r="I37" s="66" t="s">
        <v>117</v>
      </c>
      <c r="J37" s="137">
        <f t="shared" si="1"/>
        <v>15</v>
      </c>
    </row>
    <row r="38" spans="1:11">
      <c r="A38" s="128">
        <v>34</v>
      </c>
      <c r="B38" t="s">
        <v>122</v>
      </c>
      <c r="C38" t="s">
        <v>545</v>
      </c>
      <c r="D38" t="s">
        <v>546</v>
      </c>
      <c r="E38" t="s">
        <v>15</v>
      </c>
      <c r="F38" s="143">
        <v>7018069013</v>
      </c>
      <c r="I38" s="65" t="s">
        <v>124</v>
      </c>
      <c r="J38" s="137">
        <f t="shared" si="1"/>
        <v>15</v>
      </c>
    </row>
    <row r="39" spans="1:11">
      <c r="A39" s="128">
        <v>35</v>
      </c>
      <c r="B39" t="s">
        <v>241</v>
      </c>
      <c r="C39" t="s">
        <v>547</v>
      </c>
      <c r="D39" t="s">
        <v>548</v>
      </c>
      <c r="E39" t="s">
        <v>15</v>
      </c>
      <c r="F39" s="143"/>
      <c r="I39" s="66"/>
      <c r="J39" s="137">
        <f t="shared" si="1"/>
        <v>0</v>
      </c>
    </row>
    <row r="40" spans="1:11">
      <c r="A40" s="128">
        <v>36</v>
      </c>
      <c r="B40" t="s">
        <v>549</v>
      </c>
      <c r="F40" s="143"/>
      <c r="I40" s="65" t="s">
        <v>550</v>
      </c>
      <c r="J40" s="137">
        <f t="shared" si="1"/>
        <v>15</v>
      </c>
    </row>
    <row r="41" spans="1:11">
      <c r="A41" s="128">
        <v>37</v>
      </c>
      <c r="B41" t="s">
        <v>169</v>
      </c>
      <c r="C41" t="s">
        <v>526</v>
      </c>
      <c r="D41" t="s">
        <v>15</v>
      </c>
      <c r="E41" t="s">
        <v>551</v>
      </c>
      <c r="F41" s="143"/>
      <c r="I41" s="65" t="s">
        <v>171</v>
      </c>
      <c r="J41" s="137">
        <f t="shared" si="1"/>
        <v>15</v>
      </c>
    </row>
    <row r="42" spans="1:11">
      <c r="A42" s="128">
        <v>38</v>
      </c>
      <c r="B42" t="s">
        <v>153</v>
      </c>
      <c r="C42" t="s">
        <v>526</v>
      </c>
      <c r="D42" t="s">
        <v>515</v>
      </c>
      <c r="E42" t="s">
        <v>552</v>
      </c>
      <c r="F42" s="143"/>
      <c r="I42" s="65" t="s">
        <v>155</v>
      </c>
      <c r="J42" s="137">
        <f t="shared" si="1"/>
        <v>15</v>
      </c>
    </row>
    <row r="43" spans="1:11">
      <c r="A43" s="128">
        <v>39</v>
      </c>
      <c r="B43" t="s">
        <v>183</v>
      </c>
      <c r="C43" t="s">
        <v>526</v>
      </c>
      <c r="D43" t="s">
        <v>515</v>
      </c>
      <c r="E43" t="s">
        <v>515</v>
      </c>
      <c r="F43" s="143"/>
      <c r="I43" s="66"/>
      <c r="J43" s="137">
        <f t="shared" si="1"/>
        <v>0</v>
      </c>
    </row>
    <row r="44" spans="1:11">
      <c r="A44" s="128">
        <v>40</v>
      </c>
      <c r="B44" t="s">
        <v>185</v>
      </c>
      <c r="C44" t="s">
        <v>526</v>
      </c>
      <c r="D44" t="s">
        <v>553</v>
      </c>
      <c r="E44" t="s">
        <v>553</v>
      </c>
      <c r="F44" s="143">
        <v>8261920003</v>
      </c>
      <c r="I44" s="65"/>
      <c r="J44" s="137">
        <f t="shared" si="1"/>
        <v>0</v>
      </c>
    </row>
    <row r="45" spans="1:11">
      <c r="A45" s="128">
        <v>41</v>
      </c>
      <c r="B45" t="s">
        <v>200</v>
      </c>
      <c r="C45" t="s">
        <v>526</v>
      </c>
      <c r="D45" t="s">
        <v>15</v>
      </c>
      <c r="E45" t="s">
        <v>15</v>
      </c>
      <c r="F45" s="143">
        <v>8894421390</v>
      </c>
      <c r="H45" t="s">
        <v>554</v>
      </c>
      <c r="I45" s="66"/>
      <c r="J45" s="137">
        <f t="shared" si="1"/>
        <v>0</v>
      </c>
    </row>
    <row r="46" spans="1:11">
      <c r="A46" s="128">
        <v>42</v>
      </c>
      <c r="B46" t="s">
        <v>203</v>
      </c>
      <c r="C46" t="s">
        <v>526</v>
      </c>
      <c r="D46" t="s">
        <v>15</v>
      </c>
      <c r="E46" t="s">
        <v>477</v>
      </c>
      <c r="F46" s="143">
        <v>9736545745</v>
      </c>
      <c r="H46" t="s">
        <v>555</v>
      </c>
      <c r="I46" s="65"/>
      <c r="J46" s="137">
        <f t="shared" si="1"/>
        <v>0</v>
      </c>
    </row>
    <row r="47" spans="1:11">
      <c r="A47" s="128">
        <v>43</v>
      </c>
      <c r="B47" t="s">
        <v>206</v>
      </c>
      <c r="C47" t="s">
        <v>526</v>
      </c>
      <c r="D47" t="s">
        <v>15</v>
      </c>
      <c r="E47" t="s">
        <v>477</v>
      </c>
      <c r="F47" s="143">
        <v>9805536849</v>
      </c>
      <c r="H47" t="s">
        <v>556</v>
      </c>
      <c r="I47" s="66"/>
      <c r="J47" s="137">
        <f t="shared" si="1"/>
        <v>0</v>
      </c>
    </row>
    <row r="48" spans="1:11">
      <c r="A48" s="128">
        <v>44</v>
      </c>
      <c r="B48" t="s">
        <v>213</v>
      </c>
      <c r="C48" t="s">
        <v>526</v>
      </c>
      <c r="D48" t="s">
        <v>15</v>
      </c>
      <c r="E48" t="s">
        <v>477</v>
      </c>
      <c r="I48" s="65" t="s">
        <v>215</v>
      </c>
      <c r="J48" s="137">
        <f t="shared" si="1"/>
        <v>15</v>
      </c>
      <c r="K48">
        <v>0</v>
      </c>
    </row>
    <row r="49" spans="1:10">
      <c r="A49" s="128">
        <v>45</v>
      </c>
      <c r="B49" t="s">
        <v>236</v>
      </c>
      <c r="C49" t="s">
        <v>526</v>
      </c>
      <c r="D49" t="s">
        <v>15</v>
      </c>
      <c r="E49" t="s">
        <v>477</v>
      </c>
      <c r="F49" s="143">
        <v>9318771206</v>
      </c>
      <c r="H49" t="s">
        <v>557</v>
      </c>
      <c r="I49" s="186" t="s">
        <v>239</v>
      </c>
      <c r="J49" s="137">
        <f t="shared" si="1"/>
        <v>15</v>
      </c>
    </row>
    <row r="50" spans="1:10">
      <c r="A50" s="128">
        <v>46</v>
      </c>
      <c r="B50" t="s">
        <v>370</v>
      </c>
      <c r="C50" t="s">
        <v>526</v>
      </c>
      <c r="D50" t="s">
        <v>558</v>
      </c>
      <c r="E50" t="s">
        <v>15</v>
      </c>
      <c r="F50" s="143">
        <v>8219724046</v>
      </c>
      <c r="H50" t="s">
        <v>559</v>
      </c>
      <c r="I50" s="65"/>
      <c r="J50" s="137">
        <f t="shared" si="1"/>
        <v>0</v>
      </c>
    </row>
    <row r="51" spans="1:10">
      <c r="A51" s="128">
        <v>47</v>
      </c>
      <c r="B51" t="s">
        <v>428</v>
      </c>
      <c r="C51" t="s">
        <v>500</v>
      </c>
      <c r="D51" t="s">
        <v>560</v>
      </c>
      <c r="E51" t="s">
        <v>561</v>
      </c>
      <c r="I51" s="66" t="s">
        <v>550</v>
      </c>
      <c r="J51" s="137">
        <f t="shared" si="1"/>
        <v>15</v>
      </c>
    </row>
    <row r="52" spans="1:10">
      <c r="A52" s="128">
        <v>48</v>
      </c>
      <c r="B52" t="s">
        <v>455</v>
      </c>
      <c r="C52" t="s">
        <v>500</v>
      </c>
      <c r="D52" t="s">
        <v>561</v>
      </c>
      <c r="E52" t="s">
        <v>561</v>
      </c>
      <c r="I52" s="65"/>
      <c r="J52" s="137">
        <f t="shared" si="1"/>
        <v>0</v>
      </c>
    </row>
    <row r="53" spans="1:10">
      <c r="A53" s="128">
        <v>49</v>
      </c>
      <c r="B53" t="s">
        <v>406</v>
      </c>
      <c r="C53" t="s">
        <v>500</v>
      </c>
      <c r="D53" t="s">
        <v>562</v>
      </c>
      <c r="E53" t="s">
        <v>561</v>
      </c>
      <c r="I53" s="66"/>
      <c r="J53" s="137">
        <f t="shared" si="1"/>
        <v>0</v>
      </c>
    </row>
    <row r="54" spans="1:10">
      <c r="A54" s="128">
        <v>50</v>
      </c>
      <c r="B54" t="s">
        <v>563</v>
      </c>
      <c r="I54" s="65" t="s">
        <v>550</v>
      </c>
      <c r="J54" s="137">
        <f t="shared" si="1"/>
        <v>15</v>
      </c>
    </row>
    <row r="55" spans="1:10">
      <c r="A55" s="128">
        <v>51</v>
      </c>
      <c r="B55" t="s">
        <v>564</v>
      </c>
      <c r="I55" s="66" t="s">
        <v>550</v>
      </c>
      <c r="J55" s="137">
        <f t="shared" si="1"/>
        <v>15</v>
      </c>
    </row>
    <row r="56" spans="1:10">
      <c r="A56" s="128">
        <v>52</v>
      </c>
      <c r="B56" t="s">
        <v>565</v>
      </c>
      <c r="I56" s="65" t="s">
        <v>550</v>
      </c>
      <c r="J56" s="137">
        <f t="shared" si="1"/>
        <v>15</v>
      </c>
    </row>
    <row r="57" spans="1:10">
      <c r="A57" s="128">
        <v>53</v>
      </c>
      <c r="B57" t="s">
        <v>566</v>
      </c>
      <c r="I57" s="66"/>
      <c r="J57" s="137">
        <f t="shared" si="1"/>
        <v>0</v>
      </c>
    </row>
    <row r="58" spans="1:10">
      <c r="A58" s="128">
        <v>54</v>
      </c>
      <c r="B58" t="s">
        <v>567</v>
      </c>
      <c r="I58" s="65" t="s">
        <v>550</v>
      </c>
      <c r="J58" s="137">
        <f t="shared" si="1"/>
        <v>15</v>
      </c>
    </row>
    <row r="59" spans="1:10">
      <c r="A59" s="128">
        <v>55</v>
      </c>
      <c r="B59" t="s">
        <v>568</v>
      </c>
      <c r="I59" s="66" t="s">
        <v>550</v>
      </c>
      <c r="J59" s="137">
        <f t="shared" si="1"/>
        <v>15</v>
      </c>
    </row>
    <row r="60" spans="1:10">
      <c r="A60" s="128">
        <v>56</v>
      </c>
      <c r="B60" t="s">
        <v>569</v>
      </c>
      <c r="I60" s="65" t="s">
        <v>550</v>
      </c>
      <c r="J60" s="137">
        <f t="shared" si="1"/>
        <v>15</v>
      </c>
    </row>
    <row r="61" spans="1:10">
      <c r="A61" s="128">
        <v>57</v>
      </c>
      <c r="B61" t="s">
        <v>570</v>
      </c>
      <c r="I61" s="66" t="s">
        <v>550</v>
      </c>
      <c r="J61" s="137">
        <f t="shared" si="1"/>
        <v>15</v>
      </c>
    </row>
    <row r="62" spans="1:10">
      <c r="A62" s="128">
        <v>58</v>
      </c>
      <c r="B62" t="s">
        <v>571</v>
      </c>
      <c r="I62" s="65"/>
      <c r="J62" s="137">
        <f t="shared" si="1"/>
        <v>0</v>
      </c>
    </row>
    <row r="63" spans="1:10">
      <c r="A63" s="128">
        <v>59</v>
      </c>
      <c r="B63" t="s">
        <v>572</v>
      </c>
      <c r="I63" s="66" t="s">
        <v>550</v>
      </c>
      <c r="J63" s="137">
        <f t="shared" si="1"/>
        <v>15</v>
      </c>
    </row>
    <row r="64" spans="1:10">
      <c r="A64" s="128">
        <v>60</v>
      </c>
      <c r="B64" t="s">
        <v>573</v>
      </c>
      <c r="C64" t="s">
        <v>574</v>
      </c>
      <c r="D64" t="s">
        <v>575</v>
      </c>
      <c r="E64" t="s">
        <v>576</v>
      </c>
      <c r="F64" s="143">
        <v>9815212659</v>
      </c>
      <c r="G64" s="8" t="s">
        <v>577</v>
      </c>
      <c r="I64" s="65" t="s">
        <v>550</v>
      </c>
      <c r="J64" s="137">
        <f t="shared" si="1"/>
        <v>15</v>
      </c>
    </row>
    <row r="65" spans="1:10">
      <c r="A65" s="128">
        <v>61</v>
      </c>
      <c r="B65" t="s">
        <v>578</v>
      </c>
      <c r="C65" t="s">
        <v>579</v>
      </c>
      <c r="D65" t="s">
        <v>580</v>
      </c>
      <c r="E65" t="s">
        <v>576</v>
      </c>
      <c r="F65" s="143">
        <v>9855725334</v>
      </c>
      <c r="G65" s="8" t="s">
        <v>581</v>
      </c>
      <c r="I65" s="66" t="s">
        <v>550</v>
      </c>
      <c r="J65" s="137">
        <f t="shared" si="1"/>
        <v>15</v>
      </c>
    </row>
    <row r="66" spans="1:10">
      <c r="A66" s="128">
        <v>62</v>
      </c>
      <c r="B66" t="s">
        <v>582</v>
      </c>
      <c r="I66" s="65"/>
      <c r="J66" s="137">
        <f t="shared" si="1"/>
        <v>0</v>
      </c>
    </row>
    <row r="67" spans="1:10">
      <c r="A67" s="128">
        <v>63</v>
      </c>
      <c r="B67" t="s">
        <v>583</v>
      </c>
      <c r="I67" s="66" t="s">
        <v>550</v>
      </c>
      <c r="J67" s="137">
        <f t="shared" si="1"/>
        <v>15</v>
      </c>
    </row>
    <row r="68" spans="1:10">
      <c r="A68" s="128">
        <v>64</v>
      </c>
      <c r="B68" t="s">
        <v>584</v>
      </c>
      <c r="I68" s="65"/>
      <c r="J68" s="137">
        <f t="shared" si="1"/>
        <v>0</v>
      </c>
    </row>
    <row r="69" spans="1:10">
      <c r="A69" s="128">
        <v>65</v>
      </c>
      <c r="B69" t="s">
        <v>585</v>
      </c>
      <c r="C69" t="s">
        <v>586</v>
      </c>
      <c r="D69" t="s">
        <v>549</v>
      </c>
      <c r="E69" t="s">
        <v>477</v>
      </c>
      <c r="I69" s="66"/>
      <c r="J69" s="137">
        <f t="shared" si="1"/>
        <v>0</v>
      </c>
    </row>
    <row r="70" spans="1:10">
      <c r="A70" s="128">
        <v>66</v>
      </c>
      <c r="B70" t="s">
        <v>587</v>
      </c>
      <c r="I70" s="65"/>
      <c r="J70" s="137">
        <f t="shared" si="1"/>
        <v>0</v>
      </c>
    </row>
    <row r="71" spans="1:10">
      <c r="A71" s="128">
        <v>67</v>
      </c>
      <c r="B71" t="s">
        <v>588</v>
      </c>
      <c r="I71" s="66" t="s">
        <v>550</v>
      </c>
      <c r="J71" s="137">
        <f t="shared" si="1"/>
        <v>15</v>
      </c>
    </row>
    <row r="72" spans="1:10">
      <c r="A72" s="128">
        <v>68</v>
      </c>
      <c r="B72" t="s">
        <v>589</v>
      </c>
      <c r="I72" s="65"/>
      <c r="J72" s="137">
        <f t="shared" si="1"/>
        <v>0</v>
      </c>
    </row>
    <row r="73" spans="1:10">
      <c r="A73" s="128">
        <v>69</v>
      </c>
      <c r="B73" t="s">
        <v>590</v>
      </c>
      <c r="I73" s="66" t="s">
        <v>550</v>
      </c>
      <c r="J73" s="137">
        <f t="shared" si="1"/>
        <v>15</v>
      </c>
    </row>
    <row r="74" spans="1:10">
      <c r="A74" s="128">
        <v>70</v>
      </c>
      <c r="B74" t="s">
        <v>591</v>
      </c>
      <c r="I74" s="65" t="s">
        <v>550</v>
      </c>
      <c r="J74" s="137">
        <f t="shared" si="1"/>
        <v>15</v>
      </c>
    </row>
    <row r="75" spans="1:10">
      <c r="A75" s="128">
        <v>71</v>
      </c>
      <c r="B75" t="s">
        <v>592</v>
      </c>
      <c r="I75" s="66" t="s">
        <v>550</v>
      </c>
      <c r="J75" s="137">
        <f t="shared" si="1"/>
        <v>15</v>
      </c>
    </row>
    <row r="76" spans="1:10">
      <c r="A76" s="128">
        <v>72</v>
      </c>
      <c r="B76" t="s">
        <v>593</v>
      </c>
      <c r="I76" s="65" t="s">
        <v>550</v>
      </c>
      <c r="J76" s="137">
        <f t="shared" si="1"/>
        <v>15</v>
      </c>
    </row>
    <row r="77" spans="1:10">
      <c r="A77" s="128">
        <v>73</v>
      </c>
      <c r="B77" t="s">
        <v>594</v>
      </c>
      <c r="I77" s="66" t="s">
        <v>550</v>
      </c>
      <c r="J77" s="137">
        <f t="shared" si="1"/>
        <v>15</v>
      </c>
    </row>
    <row r="78" spans="1:10">
      <c r="A78" s="128">
        <v>74</v>
      </c>
      <c r="B78" t="s">
        <v>595</v>
      </c>
      <c r="I78" s="65" t="s">
        <v>550</v>
      </c>
      <c r="J78" s="137">
        <f t="shared" si="1"/>
        <v>15</v>
      </c>
    </row>
    <row r="79" spans="1:10">
      <c r="A79" s="128">
        <v>75</v>
      </c>
      <c r="B79" t="s">
        <v>596</v>
      </c>
      <c r="I79" s="66" t="s">
        <v>550</v>
      </c>
      <c r="J79" s="137">
        <f t="shared" si="1"/>
        <v>15</v>
      </c>
    </row>
    <row r="80" spans="1:10">
      <c r="A80" s="128">
        <v>76</v>
      </c>
      <c r="B80" t="s">
        <v>597</v>
      </c>
      <c r="I80" s="65" t="s">
        <v>550</v>
      </c>
      <c r="J80" s="137">
        <f t="shared" si="1"/>
        <v>15</v>
      </c>
    </row>
    <row r="81" spans="1:10">
      <c r="A81" s="128">
        <v>77</v>
      </c>
      <c r="B81" t="s">
        <v>598</v>
      </c>
      <c r="I81" s="66"/>
      <c r="J81" s="137">
        <f t="shared" si="1"/>
        <v>0</v>
      </c>
    </row>
    <row r="82" spans="1:10">
      <c r="A82" s="128">
        <v>78</v>
      </c>
      <c r="B82" t="s">
        <v>599</v>
      </c>
      <c r="I82" s="65" t="s">
        <v>550</v>
      </c>
      <c r="J82" s="137">
        <f t="shared" si="1"/>
        <v>15</v>
      </c>
    </row>
    <row r="83" spans="1:10">
      <c r="A83" s="128">
        <v>79</v>
      </c>
      <c r="B83" t="s">
        <v>600</v>
      </c>
      <c r="I83" s="66" t="s">
        <v>550</v>
      </c>
      <c r="J83" s="137">
        <f t="shared" si="1"/>
        <v>15</v>
      </c>
    </row>
    <row r="84" spans="1:10">
      <c r="A84" s="128">
        <v>80</v>
      </c>
      <c r="B84" t="s">
        <v>601</v>
      </c>
      <c r="I84" s="65" t="s">
        <v>550</v>
      </c>
      <c r="J84" s="137">
        <f t="shared" si="1"/>
        <v>15</v>
      </c>
    </row>
    <row r="85" spans="1:10">
      <c r="A85" s="128">
        <v>81</v>
      </c>
      <c r="B85" t="s">
        <v>602</v>
      </c>
      <c r="I85" s="66" t="s">
        <v>550</v>
      </c>
      <c r="J85" s="137">
        <f t="shared" si="1"/>
        <v>15</v>
      </c>
    </row>
    <row r="86" spans="1:10">
      <c r="A86" s="128">
        <v>82</v>
      </c>
      <c r="B86" t="s">
        <v>603</v>
      </c>
      <c r="C86" t="s">
        <v>604</v>
      </c>
      <c r="D86" t="s">
        <v>15</v>
      </c>
      <c r="E86" t="s">
        <v>15</v>
      </c>
      <c r="I86" s="65"/>
      <c r="J86" s="137">
        <f t="shared" si="1"/>
        <v>0</v>
      </c>
    </row>
    <row r="87" spans="1:10">
      <c r="A87" s="128">
        <v>83</v>
      </c>
      <c r="B87" t="s">
        <v>605</v>
      </c>
      <c r="I87" s="66"/>
      <c r="J87" s="137">
        <f t="shared" si="1"/>
        <v>0</v>
      </c>
    </row>
    <row r="88" spans="1:10">
      <c r="A88" s="128">
        <v>84</v>
      </c>
      <c r="B88" t="s">
        <v>606</v>
      </c>
      <c r="I88" s="65" t="s">
        <v>550</v>
      </c>
      <c r="J88" s="137">
        <f t="shared" si="1"/>
        <v>15</v>
      </c>
    </row>
    <row r="89" spans="1:10">
      <c r="A89" s="128">
        <v>85</v>
      </c>
      <c r="B89" t="s">
        <v>607</v>
      </c>
      <c r="I89" s="66"/>
      <c r="J89" s="137">
        <f t="shared" si="1"/>
        <v>0</v>
      </c>
    </row>
    <row r="90" spans="1:10">
      <c r="A90" s="128">
        <v>86</v>
      </c>
      <c r="B90" t="s">
        <v>608</v>
      </c>
      <c r="I90" s="65"/>
      <c r="J90" s="137">
        <f t="shared" si="1"/>
        <v>0</v>
      </c>
    </row>
    <row r="91" spans="1:10">
      <c r="A91" s="128">
        <v>87</v>
      </c>
      <c r="B91" t="s">
        <v>609</v>
      </c>
      <c r="I91" s="66"/>
      <c r="J91" s="137">
        <f t="shared" si="1"/>
        <v>0</v>
      </c>
    </row>
    <row r="92" spans="1:10">
      <c r="A92" s="128">
        <v>88</v>
      </c>
      <c r="B92" t="s">
        <v>610</v>
      </c>
      <c r="I92" s="65"/>
      <c r="J92" s="137">
        <f t="shared" si="1"/>
        <v>0</v>
      </c>
    </row>
    <row r="93" spans="1:10">
      <c r="A93" s="128">
        <v>89</v>
      </c>
      <c r="B93" t="s">
        <v>611</v>
      </c>
      <c r="I93" s="66"/>
      <c r="J93" s="137">
        <f t="shared" si="1"/>
        <v>0</v>
      </c>
    </row>
    <row r="94" spans="1:10">
      <c r="A94" s="128">
        <v>90</v>
      </c>
      <c r="B94" t="s">
        <v>612</v>
      </c>
      <c r="I94" s="65" t="s">
        <v>550</v>
      </c>
      <c r="J94" s="137">
        <f t="shared" si="1"/>
        <v>15</v>
      </c>
    </row>
    <row r="95" spans="1:10">
      <c r="A95" s="128">
        <v>91</v>
      </c>
      <c r="B95" t="s">
        <v>613</v>
      </c>
      <c r="I95" s="66" t="s">
        <v>550</v>
      </c>
      <c r="J95" s="137">
        <f t="shared" si="1"/>
        <v>15</v>
      </c>
    </row>
    <row r="96" spans="1:10">
      <c r="A96" s="128">
        <v>92</v>
      </c>
      <c r="B96" t="s">
        <v>614</v>
      </c>
      <c r="I96" s="65" t="s">
        <v>550</v>
      </c>
      <c r="J96" s="137">
        <f t="shared" si="1"/>
        <v>15</v>
      </c>
    </row>
    <row r="97" spans="1:13">
      <c r="A97" s="128">
        <v>93</v>
      </c>
      <c r="B97" t="s">
        <v>615</v>
      </c>
      <c r="I97" s="66" t="s">
        <v>550</v>
      </c>
      <c r="J97" s="137">
        <f t="shared" si="1"/>
        <v>15</v>
      </c>
    </row>
    <row r="98" spans="1:13">
      <c r="A98" s="128">
        <v>94</v>
      </c>
      <c r="B98" t="s">
        <v>616</v>
      </c>
      <c r="I98" s="65"/>
      <c r="J98" s="137">
        <f t="shared" si="1"/>
        <v>0</v>
      </c>
    </row>
    <row r="99" spans="1:13">
      <c r="A99" s="128">
        <v>95</v>
      </c>
      <c r="B99" t="s">
        <v>135</v>
      </c>
      <c r="I99" s="66" t="s">
        <v>550</v>
      </c>
      <c r="J99" s="137">
        <f t="shared" si="1"/>
        <v>15</v>
      </c>
    </row>
    <row r="100" spans="1:13">
      <c r="A100" s="128">
        <v>96</v>
      </c>
      <c r="B100" t="s">
        <v>617</v>
      </c>
      <c r="I100" s="65" t="s">
        <v>550</v>
      </c>
      <c r="J100" s="137">
        <f t="shared" ref="J100:J132" si="2">LEN(I100)</f>
        <v>15</v>
      </c>
    </row>
    <row r="101" spans="1:13">
      <c r="A101" s="128">
        <v>97</v>
      </c>
      <c r="B101" t="s">
        <v>618</v>
      </c>
      <c r="I101" s="66"/>
      <c r="J101" s="137">
        <f t="shared" si="2"/>
        <v>0</v>
      </c>
    </row>
    <row r="102" spans="1:13">
      <c r="A102" s="128">
        <v>98</v>
      </c>
      <c r="B102" t="s">
        <v>91</v>
      </c>
      <c r="D102" t="s">
        <v>619</v>
      </c>
      <c r="E102" t="s">
        <v>620</v>
      </c>
      <c r="F102" s="144">
        <v>9318640164</v>
      </c>
      <c r="I102" s="66"/>
    </row>
    <row r="103" spans="1:13">
      <c r="A103" s="128">
        <v>98</v>
      </c>
      <c r="B103" t="s">
        <v>621</v>
      </c>
      <c r="I103" s="65"/>
      <c r="J103" s="137">
        <f t="shared" si="2"/>
        <v>0</v>
      </c>
    </row>
    <row r="104" spans="1:13">
      <c r="A104" s="128">
        <v>99</v>
      </c>
      <c r="B104" t="s">
        <v>622</v>
      </c>
      <c r="C104" t="s">
        <v>623</v>
      </c>
      <c r="I104" s="66" t="s">
        <v>550</v>
      </c>
      <c r="J104" s="137">
        <f t="shared" si="2"/>
        <v>15</v>
      </c>
    </row>
    <row r="105" spans="1:13">
      <c r="A105" s="128">
        <v>100</v>
      </c>
      <c r="B105" t="s">
        <v>624</v>
      </c>
      <c r="I105" s="65" t="s">
        <v>550</v>
      </c>
      <c r="J105" s="137">
        <f t="shared" si="2"/>
        <v>15</v>
      </c>
    </row>
    <row r="106" spans="1:13">
      <c r="A106" s="128">
        <v>101</v>
      </c>
      <c r="B106" t="s">
        <v>625</v>
      </c>
      <c r="C106" t="s">
        <v>626</v>
      </c>
      <c r="D106" t="s">
        <v>627</v>
      </c>
      <c r="E106" t="s">
        <v>628</v>
      </c>
      <c r="F106" s="144">
        <v>8894163691</v>
      </c>
      <c r="I106" s="66"/>
      <c r="J106" s="137">
        <f t="shared" si="2"/>
        <v>0</v>
      </c>
    </row>
    <row r="107" spans="1:13">
      <c r="A107" s="128">
        <v>102</v>
      </c>
      <c r="B107" t="s">
        <v>629</v>
      </c>
      <c r="I107" s="65"/>
      <c r="J107" s="137">
        <f t="shared" si="2"/>
        <v>0</v>
      </c>
    </row>
    <row r="108" spans="1:13">
      <c r="A108" s="128">
        <v>103</v>
      </c>
      <c r="B108" t="s">
        <v>630</v>
      </c>
      <c r="I108" s="66"/>
      <c r="J108" s="137">
        <f t="shared" si="2"/>
        <v>0</v>
      </c>
    </row>
    <row r="109" spans="1:13">
      <c r="A109" s="128">
        <v>104</v>
      </c>
      <c r="B109" t="s">
        <v>631</v>
      </c>
      <c r="I109" s="65"/>
      <c r="J109" s="137">
        <f t="shared" si="2"/>
        <v>0</v>
      </c>
    </row>
    <row r="110" spans="1:13">
      <c r="A110" s="128">
        <v>105</v>
      </c>
      <c r="B110" t="s">
        <v>316</v>
      </c>
      <c r="C110" t="s">
        <v>626</v>
      </c>
      <c r="D110" t="s">
        <v>477</v>
      </c>
      <c r="E110" t="s">
        <v>477</v>
      </c>
      <c r="I110" s="66"/>
      <c r="J110" s="137">
        <f t="shared" si="2"/>
        <v>0</v>
      </c>
      <c r="M110" s="170" t="s">
        <v>632</v>
      </c>
    </row>
    <row r="111" spans="1:13">
      <c r="A111" s="128">
        <v>106</v>
      </c>
      <c r="B111" t="s">
        <v>633</v>
      </c>
      <c r="C111" t="s">
        <v>634</v>
      </c>
      <c r="D111" t="s">
        <v>635</v>
      </c>
      <c r="E111" t="s">
        <v>635</v>
      </c>
      <c r="F111" s="143">
        <v>9816714787</v>
      </c>
      <c r="H111" t="s">
        <v>636</v>
      </c>
      <c r="I111" s="65"/>
      <c r="J111" s="137">
        <f t="shared" si="2"/>
        <v>0</v>
      </c>
    </row>
    <row r="112" spans="1:13">
      <c r="A112" s="128">
        <v>107</v>
      </c>
      <c r="B112" t="s">
        <v>637</v>
      </c>
      <c r="I112" s="66" t="s">
        <v>550</v>
      </c>
      <c r="J112" s="137">
        <f t="shared" si="2"/>
        <v>15</v>
      </c>
    </row>
    <row r="113" spans="1:12">
      <c r="A113" s="128">
        <v>108</v>
      </c>
      <c r="B113" t="s">
        <v>638</v>
      </c>
      <c r="C113" t="s">
        <v>526</v>
      </c>
      <c r="D113" t="s">
        <v>639</v>
      </c>
      <c r="E113" t="s">
        <v>640</v>
      </c>
      <c r="I113" s="66" t="s">
        <v>294</v>
      </c>
      <c r="J113" s="137">
        <f t="shared" si="2"/>
        <v>15</v>
      </c>
    </row>
    <row r="114" spans="1:12">
      <c r="A114" s="128">
        <v>109</v>
      </c>
      <c r="B114" t="s">
        <v>292</v>
      </c>
      <c r="C114" t="s">
        <v>626</v>
      </c>
      <c r="D114" t="s">
        <v>641</v>
      </c>
      <c r="E114" t="s">
        <v>640</v>
      </c>
      <c r="I114" s="66" t="s">
        <v>294</v>
      </c>
      <c r="J114" s="137">
        <f t="shared" si="2"/>
        <v>15</v>
      </c>
    </row>
    <row r="115" spans="1:12">
      <c r="A115" s="128">
        <v>110</v>
      </c>
      <c r="B115" t="s">
        <v>642</v>
      </c>
      <c r="C115" t="s">
        <v>500</v>
      </c>
      <c r="D115" t="s">
        <v>643</v>
      </c>
      <c r="E115" t="s">
        <v>15</v>
      </c>
      <c r="H115" t="s">
        <v>644</v>
      </c>
      <c r="I115" s="65"/>
      <c r="J115" s="137">
        <f t="shared" si="2"/>
        <v>0</v>
      </c>
    </row>
    <row r="116" spans="1:12">
      <c r="A116" s="128">
        <v>111</v>
      </c>
      <c r="B116" t="s">
        <v>127</v>
      </c>
      <c r="C116" t="s">
        <v>475</v>
      </c>
      <c r="D116" t="s">
        <v>645</v>
      </c>
      <c r="E116" t="s">
        <v>477</v>
      </c>
      <c r="I116" s="66"/>
      <c r="J116" s="137">
        <f t="shared" si="2"/>
        <v>0</v>
      </c>
    </row>
    <row r="117" spans="1:12">
      <c r="A117" s="128">
        <v>112</v>
      </c>
      <c r="B117" t="s">
        <v>646</v>
      </c>
      <c r="I117" s="65" t="s">
        <v>550</v>
      </c>
      <c r="J117" s="137">
        <f t="shared" si="2"/>
        <v>15</v>
      </c>
    </row>
    <row r="118" spans="1:12">
      <c r="A118" s="128">
        <v>113</v>
      </c>
      <c r="B118" t="s">
        <v>647</v>
      </c>
      <c r="I118" s="66" t="s">
        <v>550</v>
      </c>
      <c r="J118" s="137">
        <f t="shared" si="2"/>
        <v>15</v>
      </c>
    </row>
    <row r="119" spans="1:12">
      <c r="A119" s="128">
        <v>114</v>
      </c>
      <c r="B119" t="s">
        <v>648</v>
      </c>
      <c r="D119" t="s">
        <v>649</v>
      </c>
      <c r="E119" t="s">
        <v>515</v>
      </c>
      <c r="I119" s="65"/>
      <c r="J119" s="137">
        <f t="shared" si="2"/>
        <v>0</v>
      </c>
    </row>
    <row r="120" spans="1:12">
      <c r="A120" s="128">
        <v>115</v>
      </c>
      <c r="B120" t="s">
        <v>460</v>
      </c>
      <c r="C120" t="s">
        <v>475</v>
      </c>
      <c r="D120" t="s">
        <v>650</v>
      </c>
      <c r="E120" t="s">
        <v>650</v>
      </c>
      <c r="I120" s="66"/>
      <c r="J120" s="137">
        <f t="shared" si="2"/>
        <v>0</v>
      </c>
    </row>
    <row r="121" spans="1:12">
      <c r="A121" s="128">
        <v>116</v>
      </c>
      <c r="B121" t="s">
        <v>227</v>
      </c>
      <c r="C121" t="s">
        <v>651</v>
      </c>
      <c r="D121" t="s">
        <v>652</v>
      </c>
      <c r="E121" t="s">
        <v>15</v>
      </c>
      <c r="F121" s="138">
        <v>9817475121</v>
      </c>
      <c r="H121" t="s">
        <v>15</v>
      </c>
      <c r="I121" s="65"/>
      <c r="J121" s="137">
        <f t="shared" si="2"/>
        <v>0</v>
      </c>
    </row>
    <row r="122" spans="1:12">
      <c r="A122" s="128">
        <v>117</v>
      </c>
      <c r="B122" t="s">
        <v>209</v>
      </c>
      <c r="C122" t="s">
        <v>502</v>
      </c>
      <c r="D122" t="s">
        <v>653</v>
      </c>
      <c r="E122" t="s">
        <v>15</v>
      </c>
      <c r="F122" s="138">
        <v>8219976532</v>
      </c>
      <c r="G122" s="138">
        <v>7018161585</v>
      </c>
      <c r="H122" t="s">
        <v>654</v>
      </c>
      <c r="I122" s="66" t="s">
        <v>211</v>
      </c>
      <c r="J122" s="137">
        <f t="shared" si="2"/>
        <v>15</v>
      </c>
      <c r="L122" s="66" t="s">
        <v>655</v>
      </c>
    </row>
    <row r="123" spans="1:12">
      <c r="I123" s="65" t="s">
        <v>656</v>
      </c>
      <c r="J123" s="137">
        <f t="shared" si="2"/>
        <v>15</v>
      </c>
    </row>
    <row r="124" spans="1:12">
      <c r="I124" s="66" t="s">
        <v>657</v>
      </c>
      <c r="J124" s="137">
        <f t="shared" si="2"/>
        <v>15</v>
      </c>
    </row>
    <row r="125" spans="1:12">
      <c r="I125" s="66"/>
      <c r="J125" s="137">
        <f t="shared" si="2"/>
        <v>0</v>
      </c>
    </row>
    <row r="126" spans="1:12">
      <c r="I126" s="66"/>
      <c r="J126" s="137">
        <f t="shared" si="2"/>
        <v>0</v>
      </c>
    </row>
    <row r="127" spans="1:12">
      <c r="I127" s="66" t="s">
        <v>656</v>
      </c>
      <c r="J127" s="137">
        <f t="shared" si="2"/>
        <v>15</v>
      </c>
    </row>
    <row r="128" spans="1:12">
      <c r="I128" s="66"/>
      <c r="J128" s="137">
        <f t="shared" si="2"/>
        <v>0</v>
      </c>
    </row>
    <row r="129" spans="9:10">
      <c r="I129" s="66" t="s">
        <v>658</v>
      </c>
      <c r="J129" s="137">
        <f t="shared" si="2"/>
        <v>15</v>
      </c>
    </row>
    <row r="130" spans="9:10">
      <c r="I130" s="66" t="s">
        <v>659</v>
      </c>
      <c r="J130" s="137">
        <f t="shared" si="2"/>
        <v>15</v>
      </c>
    </row>
    <row r="131" spans="9:10">
      <c r="I131" s="136" t="s">
        <v>660</v>
      </c>
      <c r="J131" s="137">
        <f t="shared" si="2"/>
        <v>15</v>
      </c>
    </row>
    <row r="132" spans="9:10">
      <c r="I132" s="136" t="s">
        <v>661</v>
      </c>
      <c r="J132" s="137">
        <f t="shared" si="2"/>
        <v>15</v>
      </c>
    </row>
  </sheetData>
  <hyperlinks>
    <hyperlink ref="G65" display="jscomps@rediffmail.com"/>
    <hyperlink ref="G64" display="accb0183@rediffmail.com"/>
    <hyperlink ref="M110" r:id="rId1"/>
    <hyperlink ref="G8" r:id="rId2"/>
  </hyperlinks>
  <pageMargins left="0.7" right="0.7" top="0.75" bottom="0.75" header="0.3" footer="0.3"/>
  <pageSetup orientation="portrait" r:id="rId3"/>
  <tableParts count="1">
    <tablePart r:id="rId4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>
    <pageSetUpPr fitToPage="1"/>
  </sheetPr>
  <dimension ref="B1:U46"/>
  <sheetViews>
    <sheetView zoomScale="96" zoomScaleNormal="96" workbookViewId="0">
      <selection activeCell="P18" sqref="P18"/>
    </sheetView>
  </sheetViews>
  <sheetFormatPr defaultRowHeight="15"/>
  <cols>
    <col min="1" max="1" width="10" customWidth="1"/>
    <col min="2" max="2" width="9.85546875" customWidth="1"/>
    <col min="3" max="3" width="15.5703125" customWidth="1"/>
    <col min="4" max="4" width="9.5703125" customWidth="1"/>
    <col min="5" max="5" width="3.5703125" customWidth="1"/>
    <col min="6" max="6" width="15.5703125" customWidth="1"/>
    <col min="7" max="7" width="10.28515625" customWidth="1"/>
    <col min="8" max="8" width="11.140625" customWidth="1"/>
    <col min="9" max="9" width="10.140625" customWidth="1"/>
    <col min="10" max="11" width="0.140625" customWidth="1"/>
    <col min="12" max="12" width="1.42578125" hidden="1" customWidth="1"/>
    <col min="13" max="13" width="1" hidden="1" customWidth="1"/>
    <col min="14" max="14" width="1.28515625" hidden="1" customWidth="1"/>
    <col min="15" max="15" width="38.85546875" customWidth="1"/>
    <col min="16" max="16" width="41" customWidth="1"/>
    <col min="17" max="17" width="8" style="110" customWidth="1"/>
  </cols>
  <sheetData>
    <row r="1" spans="2:21" ht="20.25">
      <c r="B1" s="242" t="s">
        <v>3</v>
      </c>
      <c r="C1" s="243"/>
      <c r="D1" s="243"/>
      <c r="E1" s="243"/>
      <c r="F1" s="243"/>
      <c r="G1" s="243"/>
      <c r="H1" s="243"/>
      <c r="I1" s="243"/>
      <c r="J1" s="244"/>
      <c r="O1" s="245" t="s">
        <v>662</v>
      </c>
      <c r="P1" s="245"/>
      <c r="R1" s="84"/>
      <c r="S1" s="84"/>
      <c r="T1" s="84"/>
      <c r="U1" s="84"/>
    </row>
    <row r="2" spans="2:21" ht="18.75">
      <c r="B2" s="246" t="s">
        <v>663</v>
      </c>
      <c r="C2" s="247"/>
      <c r="D2" s="70" t="s">
        <v>664</v>
      </c>
      <c r="E2" s="251" t="str">
        <f>VLOOKUP(P6,sol_ids,2,FALSE)</f>
        <v>EVENING</v>
      </c>
      <c r="F2" s="251"/>
      <c r="G2" s="68"/>
      <c r="H2" s="71" t="s">
        <v>665</v>
      </c>
      <c r="I2" s="72"/>
      <c r="J2" s="73"/>
      <c r="O2" s="90" t="s">
        <v>666</v>
      </c>
      <c r="P2" s="146" t="s">
        <v>667</v>
      </c>
      <c r="R2" s="84"/>
      <c r="S2" s="84"/>
      <c r="T2" s="84"/>
      <c r="U2" s="84"/>
    </row>
    <row r="3" spans="2:21" ht="21.95" customHeight="1">
      <c r="B3" s="102" t="s">
        <v>668</v>
      </c>
      <c r="C3" s="248" t="s">
        <v>669</v>
      </c>
      <c r="D3" s="248"/>
      <c r="E3" s="248"/>
      <c r="F3" s="248"/>
      <c r="G3" s="249" t="str">
        <f>CONCATENATE(N8,P6,P7)</f>
        <v>01035055064001</v>
      </c>
      <c r="H3" s="250"/>
      <c r="I3" s="74" t="s">
        <v>670</v>
      </c>
      <c r="J3" s="73"/>
      <c r="K3" s="141"/>
      <c r="O3" s="90" t="s">
        <v>671</v>
      </c>
      <c r="P3" s="124">
        <v>714</v>
      </c>
      <c r="R3" s="84"/>
      <c r="S3" s="84"/>
      <c r="T3" s="84"/>
      <c r="U3" s="84"/>
    </row>
    <row r="4" spans="2:21" ht="18" customHeight="1">
      <c r="B4" s="91"/>
      <c r="C4" s="28" t="s">
        <v>672</v>
      </c>
      <c r="D4" s="125">
        <f>P3</f>
        <v>714</v>
      </c>
      <c r="E4" s="93" t="s">
        <v>673</v>
      </c>
      <c r="F4" s="147" t="str">
        <f>P2</f>
        <v>M/s e-syndicates</v>
      </c>
      <c r="G4" s="94" t="s">
        <v>674</v>
      </c>
      <c r="H4" s="107">
        <f>P4</f>
        <v>43263</v>
      </c>
      <c r="I4" s="119">
        <f>P5</f>
        <v>420</v>
      </c>
      <c r="J4" s="73"/>
      <c r="O4" s="90" t="s">
        <v>675</v>
      </c>
      <c r="P4" s="87">
        <v>43263</v>
      </c>
      <c r="R4" s="84"/>
      <c r="S4" s="84"/>
      <c r="T4" s="84"/>
      <c r="U4" s="84"/>
    </row>
    <row r="5" spans="2:21" ht="18" customHeight="1">
      <c r="B5" s="95"/>
      <c r="C5" s="239" t="s">
        <v>676</v>
      </c>
      <c r="D5" s="239"/>
      <c r="E5" s="240" t="str">
        <f>P8</f>
        <v>Canon Laser Toner Refill etc</v>
      </c>
      <c r="F5" s="240"/>
      <c r="G5" s="240"/>
      <c r="H5" s="241"/>
      <c r="I5" s="150"/>
      <c r="J5" s="73"/>
      <c r="O5" s="90" t="s">
        <v>677</v>
      </c>
      <c r="P5" s="124">
        <v>420</v>
      </c>
      <c r="Q5" s="110">
        <f>ROUNDDOWN((P5*18%),0)</f>
        <v>75</v>
      </c>
      <c r="R5" s="84"/>
      <c r="S5" s="84"/>
      <c r="T5" s="84"/>
      <c r="U5" s="84"/>
    </row>
    <row r="6" spans="2:21" ht="18" customHeight="1">
      <c r="B6" s="95"/>
      <c r="C6" s="96"/>
      <c r="D6" s="96"/>
      <c r="E6" s="253" t="str">
        <f>CONCATENATE($N$8,$P$6,P10)</f>
        <v>01035055004003</v>
      </c>
      <c r="F6" s="253"/>
      <c r="G6" s="96" t="s">
        <v>678</v>
      </c>
      <c r="H6" s="97"/>
      <c r="I6" s="148">
        <f>($I$4*18%)/4</f>
        <v>18.899999999999999</v>
      </c>
      <c r="J6" s="73"/>
      <c r="O6" s="90" t="s">
        <v>679</v>
      </c>
      <c r="P6" s="124">
        <v>103</v>
      </c>
      <c r="R6" s="84"/>
      <c r="S6" s="84"/>
      <c r="T6" s="84"/>
      <c r="U6" s="84"/>
    </row>
    <row r="7" spans="2:21" ht="18" customHeight="1">
      <c r="B7" s="95"/>
      <c r="C7" s="96"/>
      <c r="D7" s="96"/>
      <c r="E7" s="253" t="str">
        <f>CONCATENATE($N$8,$P$6,P11)</f>
        <v>01035055004004</v>
      </c>
      <c r="F7" s="253"/>
      <c r="G7" s="96" t="s">
        <v>680</v>
      </c>
      <c r="H7" s="97"/>
      <c r="I7" s="148">
        <f>($I$4*18%)/4</f>
        <v>18.899999999999999</v>
      </c>
      <c r="J7" s="73"/>
      <c r="O7" s="90" t="s">
        <v>681</v>
      </c>
      <c r="P7" s="86">
        <v>5055064001</v>
      </c>
      <c r="Q7" s="110" t="s">
        <v>682</v>
      </c>
      <c r="R7" s="84"/>
      <c r="S7" s="84"/>
      <c r="T7" s="84"/>
      <c r="U7" s="84"/>
    </row>
    <row r="8" spans="2:21" ht="18" customHeight="1">
      <c r="B8" s="95"/>
      <c r="C8" s="96"/>
      <c r="D8" s="96"/>
      <c r="E8" s="253" t="str">
        <f>CONCATENATE($N$8,$P$6,P12)</f>
        <v>01035022120004</v>
      </c>
      <c r="F8" s="253"/>
      <c r="G8" s="96" t="s">
        <v>683</v>
      </c>
      <c r="H8" s="97"/>
      <c r="I8" s="148">
        <f>($I$4*18%)/4</f>
        <v>18.899999999999999</v>
      </c>
      <c r="J8" s="73"/>
      <c r="N8" s="76">
        <v>0</v>
      </c>
      <c r="O8" s="90" t="s">
        <v>684</v>
      </c>
      <c r="P8" s="106" t="s">
        <v>685</v>
      </c>
      <c r="R8" s="84"/>
      <c r="S8" s="84"/>
      <c r="T8" s="84"/>
      <c r="U8" s="84"/>
    </row>
    <row r="9" spans="2:21" ht="18" customHeight="1">
      <c r="B9" s="95"/>
      <c r="C9" s="96"/>
      <c r="D9" s="96"/>
      <c r="E9" s="253" t="str">
        <f>CONCATENATE($N$8,$P$6,P13)</f>
        <v>01035022120005</v>
      </c>
      <c r="F9" s="253"/>
      <c r="G9" s="96" t="s">
        <v>686</v>
      </c>
      <c r="H9" s="97"/>
      <c r="I9" s="148">
        <f>($I$4*18%)/4</f>
        <v>18.899999999999999</v>
      </c>
      <c r="J9" s="73"/>
      <c r="N9" s="77"/>
      <c r="O9" s="89" t="s">
        <v>687</v>
      </c>
      <c r="P9" s="85">
        <v>10335001100024</v>
      </c>
      <c r="R9" s="84"/>
      <c r="S9" s="84"/>
      <c r="T9" s="84"/>
      <c r="U9" s="84"/>
    </row>
    <row r="10" spans="2:21" ht="21.95" customHeight="1">
      <c r="B10" s="91"/>
      <c r="C10" s="28"/>
      <c r="D10" s="28"/>
      <c r="E10" s="28"/>
      <c r="F10" s="28"/>
      <c r="G10" s="28"/>
      <c r="H10" s="103" t="s">
        <v>43</v>
      </c>
      <c r="I10" s="119">
        <f>496</f>
        <v>496</v>
      </c>
      <c r="J10" s="73"/>
      <c r="K10" s="119"/>
      <c r="N10" s="77"/>
      <c r="O10" s="89" t="s">
        <v>688</v>
      </c>
      <c r="P10" s="85">
        <v>5055004003</v>
      </c>
      <c r="R10" s="84"/>
      <c r="S10" s="84"/>
      <c r="T10" s="84"/>
      <c r="U10" s="84"/>
    </row>
    <row r="11" spans="2:21" ht="21.95" customHeight="1">
      <c r="B11" s="98" t="s">
        <v>689</v>
      </c>
      <c r="C11" s="254" t="str">
        <f>O14</f>
        <v>M/s e-syndicates    010335001100024</v>
      </c>
      <c r="D11" s="254"/>
      <c r="E11" s="254"/>
      <c r="F11" s="254"/>
      <c r="G11" s="254"/>
      <c r="H11" s="255"/>
      <c r="I11" s="120">
        <f>I10</f>
        <v>496</v>
      </c>
      <c r="J11" s="73"/>
      <c r="N11" s="77"/>
      <c r="O11" s="89" t="s">
        <v>680</v>
      </c>
      <c r="P11" s="85">
        <v>5055004004</v>
      </c>
      <c r="R11" s="84"/>
      <c r="S11" s="84"/>
      <c r="T11" s="84"/>
      <c r="U11" s="84"/>
    </row>
    <row r="12" spans="2:21" ht="18" customHeight="1">
      <c r="B12" s="99"/>
      <c r="C12" s="256" t="s">
        <v>690</v>
      </c>
      <c r="D12" s="256"/>
      <c r="E12" s="256"/>
      <c r="F12" s="256"/>
      <c r="G12" s="256"/>
      <c r="H12" s="257"/>
      <c r="I12" s="150"/>
      <c r="J12" s="73"/>
      <c r="N12" s="77"/>
      <c r="O12" s="89" t="s">
        <v>683</v>
      </c>
      <c r="P12" s="85">
        <v>5022120004</v>
      </c>
      <c r="R12" s="84"/>
      <c r="S12" s="84"/>
      <c r="T12" s="84"/>
      <c r="U12" s="84"/>
    </row>
    <row r="13" spans="2:21" ht="18" customHeight="1">
      <c r="B13" s="99"/>
      <c r="C13" s="258"/>
      <c r="D13" s="258"/>
      <c r="E13" s="258"/>
      <c r="F13" s="258"/>
      <c r="G13" s="258"/>
      <c r="H13" s="259"/>
      <c r="I13" s="150"/>
      <c r="J13" s="73"/>
      <c r="N13" s="77"/>
      <c r="O13" s="89" t="s">
        <v>686</v>
      </c>
      <c r="P13" s="85">
        <v>5022120005</v>
      </c>
      <c r="R13" s="84"/>
      <c r="S13" s="84"/>
      <c r="T13" s="84"/>
      <c r="U13" s="84"/>
    </row>
    <row r="14" spans="2:21" ht="18" customHeight="1">
      <c r="B14" s="99"/>
      <c r="C14" s="96"/>
      <c r="D14" s="96"/>
      <c r="E14" s="96"/>
      <c r="F14" s="96"/>
      <c r="G14" s="96"/>
      <c r="H14" s="97"/>
      <c r="I14" s="150"/>
      <c r="J14" s="73"/>
      <c r="O14" s="89" t="str">
        <f>CONCATENATE(P2,"    0",P9)</f>
        <v>M/s e-syndicates    010335001100024</v>
      </c>
      <c r="P14" s="85"/>
      <c r="R14">
        <f>I4*18%</f>
        <v>75.599999999999994</v>
      </c>
      <c r="S14">
        <f>(300*18%)</f>
        <v>54</v>
      </c>
    </row>
    <row r="15" spans="2:21" ht="18" customHeight="1">
      <c r="B15" s="99"/>
      <c r="C15" s="96"/>
      <c r="D15" s="96"/>
      <c r="E15" s="96"/>
      <c r="F15" s="96"/>
      <c r="G15" s="96"/>
      <c r="H15" s="97"/>
      <c r="I15" s="150"/>
      <c r="J15" s="73"/>
    </row>
    <row r="16" spans="2:21" ht="21.95" customHeight="1">
      <c r="B16" s="99"/>
      <c r="C16" s="96"/>
      <c r="D16" s="96"/>
      <c r="E16" s="96"/>
      <c r="F16" s="96"/>
      <c r="G16" s="96"/>
      <c r="H16" s="97"/>
      <c r="I16" s="120">
        <f>SUM(I11:I15)</f>
        <v>496</v>
      </c>
      <c r="J16" s="73"/>
      <c r="O16" s="182">
        <v>354</v>
      </c>
    </row>
    <row r="17" spans="2:17">
      <c r="B17" s="83"/>
      <c r="C17" s="75"/>
      <c r="D17" s="75"/>
      <c r="E17" s="75"/>
      <c r="F17" s="75"/>
      <c r="G17" s="75"/>
      <c r="H17" s="75"/>
      <c r="I17" s="27"/>
      <c r="J17" s="73"/>
      <c r="O17" s="182">
        <v>5842</v>
      </c>
    </row>
    <row r="18" spans="2:17">
      <c r="B18" s="101" t="s">
        <v>691</v>
      </c>
      <c r="C18" s="68"/>
      <c r="D18" s="252" t="s">
        <v>519</v>
      </c>
      <c r="E18" s="252"/>
      <c r="F18" s="68"/>
      <c r="G18" s="68" t="s">
        <v>692</v>
      </c>
      <c r="H18" s="68"/>
      <c r="I18" s="73" t="s">
        <v>532</v>
      </c>
      <c r="J18" s="73"/>
      <c r="O18" s="182">
        <v>2554</v>
      </c>
    </row>
    <row r="19" spans="2:17">
      <c r="B19" s="78"/>
      <c r="C19" s="68"/>
      <c r="D19" s="68"/>
      <c r="E19" s="68"/>
      <c r="F19" s="68"/>
      <c r="G19" s="68"/>
      <c r="H19" s="68"/>
      <c r="I19" s="73"/>
      <c r="J19" s="73"/>
      <c r="O19" s="182">
        <v>566</v>
      </c>
    </row>
    <row r="20" spans="2:17">
      <c r="B20" s="79"/>
      <c r="C20" s="80"/>
      <c r="D20" s="80"/>
      <c r="E20" s="80"/>
      <c r="F20" s="80"/>
      <c r="G20" s="80"/>
      <c r="H20" s="80"/>
      <c r="I20" s="81"/>
      <c r="J20" s="81"/>
      <c r="O20" s="182">
        <v>612</v>
      </c>
    </row>
    <row r="21" spans="2:17">
      <c r="B21" s="68"/>
      <c r="C21" s="68"/>
      <c r="D21" s="68"/>
      <c r="E21" s="68"/>
      <c r="F21" s="68"/>
      <c r="G21" s="68"/>
      <c r="H21" s="68"/>
      <c r="I21" s="68"/>
      <c r="J21" s="68"/>
      <c r="O21" s="182">
        <v>660</v>
      </c>
    </row>
    <row r="22" spans="2:17">
      <c r="B22" s="68"/>
      <c r="C22" s="68"/>
      <c r="D22" s="68"/>
      <c r="E22" s="68"/>
      <c r="F22" s="68"/>
      <c r="G22" s="68"/>
      <c r="H22" s="68"/>
      <c r="I22" s="68"/>
      <c r="J22" s="68"/>
      <c r="O22" s="182">
        <v>826</v>
      </c>
    </row>
    <row r="23" spans="2:17">
      <c r="B23" s="68"/>
      <c r="C23" s="68"/>
      <c r="D23" s="68"/>
      <c r="E23" s="68"/>
      <c r="F23" s="68"/>
      <c r="G23" s="68"/>
      <c r="H23" s="68"/>
      <c r="I23" s="68"/>
      <c r="J23" s="68"/>
      <c r="O23" s="182">
        <v>1477</v>
      </c>
    </row>
    <row r="24" spans="2:17">
      <c r="B24" s="68"/>
      <c r="C24" s="68"/>
      <c r="D24" s="68"/>
      <c r="E24" s="68"/>
      <c r="F24" s="68"/>
      <c r="G24" s="68"/>
      <c r="H24" s="68"/>
      <c r="I24" s="68"/>
      <c r="J24" s="68"/>
      <c r="O24" s="182">
        <v>769</v>
      </c>
    </row>
    <row r="25" spans="2:17">
      <c r="B25" s="68"/>
      <c r="C25" s="68"/>
      <c r="D25" s="68"/>
      <c r="E25" s="68"/>
      <c r="F25" s="68"/>
      <c r="G25" s="68"/>
      <c r="H25" s="68"/>
      <c r="I25" s="68"/>
      <c r="J25" s="68"/>
      <c r="O25" s="182">
        <v>480</v>
      </c>
    </row>
    <row r="26" spans="2:17" ht="42.75" customHeight="1">
      <c r="H26" s="117"/>
    </row>
    <row r="27" spans="2:17" ht="20.25">
      <c r="B27" s="242" t="s">
        <v>3</v>
      </c>
      <c r="C27" s="243"/>
      <c r="D27" s="243"/>
      <c r="E27" s="243"/>
      <c r="F27" s="243"/>
      <c r="G27" s="243"/>
      <c r="H27" s="243"/>
      <c r="I27" s="243"/>
      <c r="J27" s="244"/>
      <c r="O27" s="260" t="s">
        <v>662</v>
      </c>
      <c r="P27" s="260"/>
    </row>
    <row r="28" spans="2:17" ht="18.75">
      <c r="B28" s="246" t="s">
        <v>663</v>
      </c>
      <c r="C28" s="247"/>
      <c r="D28" s="112" t="s">
        <v>664</v>
      </c>
      <c r="E28" s="251" t="str">
        <f>VLOOKUP(P32,sol_ids,2,FALSE)</f>
        <v>SOHIAN KALAN</v>
      </c>
      <c r="F28" s="251"/>
      <c r="G28" s="80"/>
      <c r="H28" s="113" t="s">
        <v>665</v>
      </c>
      <c r="I28" s="114"/>
      <c r="J28" s="81"/>
      <c r="O28" s="90" t="s">
        <v>666</v>
      </c>
      <c r="P28" s="106" t="s">
        <v>693</v>
      </c>
    </row>
    <row r="29" spans="2:17" ht="17.25">
      <c r="B29" s="111" t="s">
        <v>668</v>
      </c>
      <c r="C29" s="261" t="s">
        <v>669</v>
      </c>
      <c r="D29" s="261"/>
      <c r="E29" s="261"/>
      <c r="F29" s="261"/>
      <c r="G29" s="262" t="str">
        <f>CONCATENATE(N34,P32,P33)</f>
        <v>01095055064001</v>
      </c>
      <c r="H29" s="263"/>
      <c r="I29" s="81" t="s">
        <v>670</v>
      </c>
      <c r="J29" s="73"/>
      <c r="O29" s="90" t="s">
        <v>671</v>
      </c>
      <c r="P29" s="124">
        <v>749</v>
      </c>
    </row>
    <row r="30" spans="2:17" ht="17.25">
      <c r="B30" s="91"/>
      <c r="C30" s="28" t="s">
        <v>672</v>
      </c>
      <c r="D30" s="125">
        <f>P29</f>
        <v>749</v>
      </c>
      <c r="E30" s="93" t="s">
        <v>673</v>
      </c>
      <c r="F30" s="92" t="str">
        <f>P28</f>
        <v xml:space="preserve">M/s e-syndicates </v>
      </c>
      <c r="G30" s="94" t="s">
        <v>674</v>
      </c>
      <c r="H30" s="107">
        <f>P30</f>
        <v>43293</v>
      </c>
      <c r="I30" s="119">
        <f>P31</f>
        <v>424</v>
      </c>
      <c r="J30" s="73"/>
      <c r="L30" s="82"/>
      <c r="M30" s="82"/>
      <c r="N30" s="82"/>
      <c r="O30" s="90" t="s">
        <v>675</v>
      </c>
      <c r="P30" s="145">
        <v>43293</v>
      </c>
    </row>
    <row r="31" spans="2:17" ht="15.75">
      <c r="B31" s="95"/>
      <c r="C31" s="264" t="s">
        <v>676</v>
      </c>
      <c r="D31" s="264"/>
      <c r="E31" s="239" t="str">
        <f>P34</f>
        <v>Files sharing problem</v>
      </c>
      <c r="F31" s="239"/>
      <c r="G31" s="239"/>
      <c r="H31" s="265"/>
      <c r="I31" s="150"/>
      <c r="J31" s="73"/>
      <c r="O31" s="90" t="s">
        <v>677</v>
      </c>
      <c r="P31" s="86">
        <v>424</v>
      </c>
      <c r="Q31" s="110">
        <f>P31*18%</f>
        <v>76.319999999999993</v>
      </c>
    </row>
    <row r="32" spans="2:17" ht="15.75">
      <c r="B32" s="95"/>
      <c r="C32" s="96"/>
      <c r="D32" s="96"/>
      <c r="E32" s="253" t="str">
        <f>CONCATENATE($N$34,$P$32,P36)</f>
        <v>01095055004003</v>
      </c>
      <c r="F32" s="253"/>
      <c r="G32" s="96" t="s">
        <v>678</v>
      </c>
      <c r="H32" s="97"/>
      <c r="I32" s="148">
        <f>ROUND(($Q$31/4),2)</f>
        <v>19.079999999999998</v>
      </c>
      <c r="J32" s="73"/>
      <c r="O32" s="90" t="s">
        <v>679</v>
      </c>
      <c r="P32" s="124">
        <v>109</v>
      </c>
    </row>
    <row r="33" spans="2:16" ht="15.75">
      <c r="B33" s="95"/>
      <c r="C33" s="96"/>
      <c r="D33" s="96"/>
      <c r="E33" s="253" t="str">
        <f>CONCATENATE($N$34,$P$32,P37)</f>
        <v>01095055004004</v>
      </c>
      <c r="F33" s="253"/>
      <c r="G33" s="96" t="s">
        <v>680</v>
      </c>
      <c r="H33" s="97"/>
      <c r="I33" s="148">
        <f>ROUND(($Q$31/4),2)</f>
        <v>19.079999999999998</v>
      </c>
      <c r="J33" s="73"/>
      <c r="O33" s="90" t="s">
        <v>681</v>
      </c>
      <c r="P33" s="86">
        <v>5055064001</v>
      </c>
    </row>
    <row r="34" spans="2:16" ht="15.75">
      <c r="B34" s="95"/>
      <c r="C34" s="96"/>
      <c r="D34" s="96"/>
      <c r="E34" s="253" t="str">
        <f>CONCATENATE($N$34,$P$32,P38)</f>
        <v>01095022120004</v>
      </c>
      <c r="F34" s="253"/>
      <c r="G34" s="96" t="s">
        <v>683</v>
      </c>
      <c r="H34" s="97"/>
      <c r="I34" s="148">
        <f>ROUND(($Q$31/4),2)</f>
        <v>19.079999999999998</v>
      </c>
      <c r="J34" s="73"/>
      <c r="N34" s="76">
        <v>0</v>
      </c>
      <c r="O34" s="90" t="s">
        <v>684</v>
      </c>
      <c r="P34" s="106" t="s">
        <v>694</v>
      </c>
    </row>
    <row r="35" spans="2:16">
      <c r="B35" s="95"/>
      <c r="C35" s="96"/>
      <c r="D35" s="96"/>
      <c r="E35" s="253" t="str">
        <f>CONCATENATE($N$34,$P$32,P39)</f>
        <v>01095022120005</v>
      </c>
      <c r="F35" s="253"/>
      <c r="G35" s="96" t="s">
        <v>686</v>
      </c>
      <c r="H35" s="97"/>
      <c r="I35" s="148">
        <f>ROUND(($Q$31/4),2)</f>
        <v>19.079999999999998</v>
      </c>
      <c r="J35" s="73"/>
      <c r="O35" s="89" t="s">
        <v>687</v>
      </c>
      <c r="P35" s="85">
        <v>10335001100024</v>
      </c>
    </row>
    <row r="36" spans="2:16" ht="17.25">
      <c r="B36" s="91"/>
      <c r="C36" s="28"/>
      <c r="D36" s="28"/>
      <c r="E36" s="28"/>
      <c r="F36" s="28"/>
      <c r="G36" s="28"/>
      <c r="H36" s="103" t="s">
        <v>43</v>
      </c>
      <c r="I36" s="119">
        <f>SUM(I29:I35)</f>
        <v>500.31999999999994</v>
      </c>
      <c r="J36" s="73"/>
      <c r="O36" s="89" t="s">
        <v>688</v>
      </c>
      <c r="P36" s="85">
        <v>5055004003</v>
      </c>
    </row>
    <row r="37" spans="2:16" ht="17.25">
      <c r="B37" s="98" t="s">
        <v>689</v>
      </c>
      <c r="C37" s="254" t="str">
        <f>O40</f>
        <v>M/s e-syndicates     010335001100024</v>
      </c>
      <c r="D37" s="254"/>
      <c r="E37" s="254"/>
      <c r="F37" s="254"/>
      <c r="G37" s="254"/>
      <c r="H37" s="255"/>
      <c r="I37" s="120">
        <f>I36</f>
        <v>500.31999999999994</v>
      </c>
      <c r="J37" s="73"/>
      <c r="O37" s="89" t="s">
        <v>680</v>
      </c>
      <c r="P37" s="85">
        <v>5055004004</v>
      </c>
    </row>
    <row r="38" spans="2:16" ht="15.75">
      <c r="B38" s="99"/>
      <c r="C38" s="256" t="s">
        <v>690</v>
      </c>
      <c r="D38" s="256"/>
      <c r="E38" s="256"/>
      <c r="F38" s="256"/>
      <c r="G38" s="256"/>
      <c r="H38" s="257"/>
      <c r="I38" s="150"/>
      <c r="J38" s="73"/>
      <c r="O38" s="89" t="s">
        <v>683</v>
      </c>
      <c r="P38" s="85">
        <v>5022120004</v>
      </c>
    </row>
    <row r="39" spans="2:16" ht="15.75">
      <c r="B39" s="99"/>
      <c r="C39" s="258"/>
      <c r="D39" s="258"/>
      <c r="E39" s="258"/>
      <c r="F39" s="258"/>
      <c r="G39" s="258"/>
      <c r="H39" s="259"/>
      <c r="I39" s="150"/>
      <c r="J39" s="73"/>
      <c r="O39" s="89" t="s">
        <v>686</v>
      </c>
      <c r="P39" s="85">
        <v>5022120005</v>
      </c>
    </row>
    <row r="40" spans="2:16">
      <c r="B40" s="99"/>
      <c r="C40" s="96"/>
      <c r="D40" s="96"/>
      <c r="E40" s="96"/>
      <c r="F40" s="96"/>
      <c r="G40" s="96"/>
      <c r="H40" s="97"/>
      <c r="I40" s="74"/>
      <c r="J40" s="73"/>
      <c r="O40" s="89" t="str">
        <f>CONCATENATE(P28,"    0",P35)</f>
        <v>M/s e-syndicates     010335001100024</v>
      </c>
      <c r="P40" s="85"/>
    </row>
    <row r="41" spans="2:16">
      <c r="B41" s="99"/>
      <c r="C41" s="96"/>
      <c r="D41" s="96"/>
      <c r="E41" s="96"/>
      <c r="F41" s="96"/>
      <c r="G41" s="96"/>
      <c r="H41" s="97"/>
      <c r="I41" s="74"/>
      <c r="J41" s="73"/>
    </row>
    <row r="42" spans="2:16" ht="17.25">
      <c r="B42" s="99"/>
      <c r="C42" s="96"/>
      <c r="D42" s="96"/>
      <c r="E42" s="96"/>
      <c r="F42" s="96"/>
      <c r="G42" s="96"/>
      <c r="H42" s="97"/>
      <c r="I42" s="120">
        <f>SUM(I37:I41)</f>
        <v>500.31999999999994</v>
      </c>
      <c r="J42" s="73"/>
    </row>
    <row r="43" spans="2:16">
      <c r="B43" s="83"/>
      <c r="C43" s="75"/>
      <c r="D43" s="75"/>
      <c r="E43" s="75"/>
      <c r="F43" s="75"/>
      <c r="G43" s="75"/>
      <c r="H43" s="75"/>
      <c r="I43" s="27"/>
      <c r="J43" s="73"/>
    </row>
    <row r="44" spans="2:16">
      <c r="B44" s="101" t="s">
        <v>691</v>
      </c>
      <c r="C44" s="68"/>
      <c r="D44" s="252" t="s">
        <v>519</v>
      </c>
      <c r="E44" s="252"/>
      <c r="F44" s="68"/>
      <c r="G44" s="68" t="s">
        <v>692</v>
      </c>
      <c r="H44" s="68"/>
      <c r="I44" s="73" t="s">
        <v>532</v>
      </c>
      <c r="J44" s="73"/>
    </row>
    <row r="45" spans="2:16">
      <c r="B45" s="78"/>
      <c r="C45" s="68"/>
      <c r="D45" s="68"/>
      <c r="E45" s="68"/>
      <c r="F45" s="68"/>
      <c r="G45" s="68"/>
      <c r="H45" s="68"/>
      <c r="I45" s="73"/>
      <c r="J45" s="73"/>
    </row>
    <row r="46" spans="2:16">
      <c r="B46" s="79"/>
      <c r="C46" s="80"/>
      <c r="D46" s="80"/>
      <c r="E46" s="80"/>
      <c r="F46" s="80"/>
      <c r="G46" s="80"/>
      <c r="H46" s="80"/>
      <c r="I46" s="81"/>
      <c r="J46" s="81"/>
    </row>
  </sheetData>
  <mergeCells count="32">
    <mergeCell ref="C38:H38"/>
    <mergeCell ref="C39:H39"/>
    <mergeCell ref="D44:E44"/>
    <mergeCell ref="O27:P27"/>
    <mergeCell ref="E28:F28"/>
    <mergeCell ref="E32:F32"/>
    <mergeCell ref="E33:F33"/>
    <mergeCell ref="E34:F34"/>
    <mergeCell ref="E35:F35"/>
    <mergeCell ref="C37:H37"/>
    <mergeCell ref="B27:J27"/>
    <mergeCell ref="B28:C28"/>
    <mergeCell ref="C29:F29"/>
    <mergeCell ref="G29:H29"/>
    <mergeCell ref="C31:D31"/>
    <mergeCell ref="E31:H31"/>
    <mergeCell ref="D18:E18"/>
    <mergeCell ref="E6:F6"/>
    <mergeCell ref="E7:F7"/>
    <mergeCell ref="E8:F8"/>
    <mergeCell ref="E9:F9"/>
    <mergeCell ref="C11:H11"/>
    <mergeCell ref="C12:H12"/>
    <mergeCell ref="C13:H13"/>
    <mergeCell ref="C5:D5"/>
    <mergeCell ref="E5:H5"/>
    <mergeCell ref="B1:J1"/>
    <mergeCell ref="O1:P1"/>
    <mergeCell ref="B2:C2"/>
    <mergeCell ref="C3:F3"/>
    <mergeCell ref="G3:H3"/>
    <mergeCell ref="E2:F2"/>
  </mergeCells>
  <pageMargins left="0.70866141732283472" right="0.70866141732283472" top="0.74803149606299213" bottom="0.74803149606299213" header="0.31496062992125984" footer="0.31496062992125984"/>
  <pageSetup paperSize="9" scale="91" orientation="portrait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1:L124"/>
  <sheetViews>
    <sheetView topLeftCell="A55" workbookViewId="0">
      <selection activeCell="B70" sqref="B70"/>
    </sheetView>
  </sheetViews>
  <sheetFormatPr defaultRowHeight="15"/>
  <cols>
    <col min="1" max="1" width="48.5703125" bestFit="1" customWidth="1"/>
    <col min="2" max="2" width="19.7109375" customWidth="1"/>
    <col min="3" max="3" width="34.7109375" bestFit="1" customWidth="1"/>
    <col min="4" max="4" width="27" bestFit="1" customWidth="1"/>
  </cols>
  <sheetData>
    <row r="1" spans="1:8">
      <c r="A1" t="s">
        <v>695</v>
      </c>
      <c r="B1" t="s">
        <v>696</v>
      </c>
      <c r="C1" t="s">
        <v>697</v>
      </c>
      <c r="D1" t="s">
        <v>698</v>
      </c>
      <c r="E1" t="s">
        <v>699</v>
      </c>
    </row>
    <row r="2" spans="1:8">
      <c r="A2" s="166" t="s">
        <v>700</v>
      </c>
      <c r="C2" t="s">
        <v>701</v>
      </c>
      <c r="D2" t="s">
        <v>702</v>
      </c>
      <c r="E2" t="s">
        <v>703</v>
      </c>
    </row>
    <row r="3" spans="1:8">
      <c r="A3" s="165" t="s">
        <v>704</v>
      </c>
      <c r="B3" s="65" t="s">
        <v>550</v>
      </c>
      <c r="C3" t="s">
        <v>3</v>
      </c>
      <c r="D3" t="str">
        <f>A3</f>
        <v>AJNALA</v>
      </c>
      <c r="E3" t="s">
        <v>705</v>
      </c>
    </row>
    <row r="4" spans="1:8">
      <c r="A4" s="166" t="s">
        <v>114</v>
      </c>
      <c r="B4" s="66" t="s">
        <v>117</v>
      </c>
      <c r="C4" t="s">
        <v>114</v>
      </c>
      <c r="D4" t="s">
        <v>543</v>
      </c>
      <c r="E4" t="s">
        <v>543</v>
      </c>
    </row>
    <row r="5" spans="1:8">
      <c r="A5" s="165" t="s">
        <v>122</v>
      </c>
      <c r="B5" s="65" t="s">
        <v>124</v>
      </c>
      <c r="C5" t="s">
        <v>122</v>
      </c>
      <c r="D5" t="str">
        <f t="shared" ref="D5:D23" si="0">A5</f>
        <v>ELLORA COMPUTERS</v>
      </c>
      <c r="E5" t="s">
        <v>703</v>
      </c>
    </row>
    <row r="6" spans="1:8">
      <c r="A6" s="166" t="s">
        <v>127</v>
      </c>
      <c r="B6" s="66"/>
      <c r="D6" t="str">
        <f t="shared" si="0"/>
        <v>HM GMS BHAVRAN</v>
      </c>
      <c r="E6" t="s">
        <v>703</v>
      </c>
    </row>
    <row r="7" spans="1:8">
      <c r="A7" s="165" t="s">
        <v>706</v>
      </c>
      <c r="B7" s="65" t="s">
        <v>550</v>
      </c>
      <c r="C7" t="s">
        <v>707</v>
      </c>
      <c r="D7" t="str">
        <f t="shared" si="0"/>
        <v>BALDEV ATTARI</v>
      </c>
      <c r="E7" t="s">
        <v>705</v>
      </c>
    </row>
    <row r="8" spans="1:8">
      <c r="A8" s="166" t="s">
        <v>708</v>
      </c>
      <c r="B8" s="66" t="s">
        <v>550</v>
      </c>
      <c r="C8" t="s">
        <v>3</v>
      </c>
      <c r="D8" t="str">
        <f t="shared" si="0"/>
        <v>BASERKE GILLAN</v>
      </c>
      <c r="E8" t="s">
        <v>705</v>
      </c>
    </row>
    <row r="9" spans="1:8">
      <c r="A9" s="165" t="s">
        <v>709</v>
      </c>
      <c r="B9" s="65" t="s">
        <v>550</v>
      </c>
      <c r="C9" t="s">
        <v>3</v>
      </c>
      <c r="D9" t="str">
        <f t="shared" si="0"/>
        <v>BEAS</v>
      </c>
      <c r="E9" t="s">
        <v>705</v>
      </c>
    </row>
    <row r="10" spans="1:8">
      <c r="A10" s="166" t="s">
        <v>710</v>
      </c>
      <c r="B10" s="66" t="s">
        <v>550</v>
      </c>
      <c r="C10" t="s">
        <v>3</v>
      </c>
      <c r="D10" t="str">
        <f t="shared" si="0"/>
        <v>BHALLAPIND</v>
      </c>
      <c r="E10" t="s">
        <v>705</v>
      </c>
    </row>
    <row r="11" spans="1:8">
      <c r="A11" s="165" t="s">
        <v>711</v>
      </c>
      <c r="B11" s="65" t="s">
        <v>550</v>
      </c>
      <c r="C11" t="s">
        <v>3</v>
      </c>
      <c r="D11" t="str">
        <f t="shared" si="0"/>
        <v>BUNDALA</v>
      </c>
      <c r="E11" t="s">
        <v>705</v>
      </c>
    </row>
    <row r="12" spans="1:8">
      <c r="A12" s="166" t="s">
        <v>712</v>
      </c>
      <c r="B12" s="66" t="s">
        <v>550</v>
      </c>
      <c r="C12" t="s">
        <v>3</v>
      </c>
      <c r="D12" t="str">
        <f t="shared" si="0"/>
        <v>BUTALA</v>
      </c>
      <c r="E12" t="s">
        <v>705</v>
      </c>
    </row>
    <row r="13" spans="1:8">
      <c r="A13" s="165" t="s">
        <v>713</v>
      </c>
      <c r="B13" s="65" t="s">
        <v>550</v>
      </c>
      <c r="C13" t="s">
        <v>3</v>
      </c>
      <c r="D13" t="str">
        <f t="shared" si="0"/>
        <v>CENTRAL JAIL ROAD (MEERANKOT)</v>
      </c>
      <c r="E13" t="s">
        <v>705</v>
      </c>
    </row>
    <row r="14" spans="1:8">
      <c r="A14" s="166" t="s">
        <v>714</v>
      </c>
      <c r="B14" s="66" t="s">
        <v>550</v>
      </c>
      <c r="C14" t="s">
        <v>3</v>
      </c>
      <c r="D14" t="str">
        <f t="shared" si="0"/>
        <v>CHAMYARI</v>
      </c>
      <c r="E14" t="s">
        <v>705</v>
      </c>
    </row>
    <row r="15" spans="1:8">
      <c r="A15" s="165" t="s">
        <v>715</v>
      </c>
      <c r="B15" s="65" t="s">
        <v>550</v>
      </c>
      <c r="C15" t="s">
        <v>3</v>
      </c>
      <c r="D15" t="str">
        <f t="shared" si="0"/>
        <v>CHANANKE</v>
      </c>
      <c r="E15" t="s">
        <v>705</v>
      </c>
    </row>
    <row r="16" spans="1:8">
      <c r="A16" t="s">
        <v>97</v>
      </c>
      <c r="B16" s="176" t="s">
        <v>99</v>
      </c>
      <c r="C16" t="s">
        <v>15</v>
      </c>
      <c r="D16" t="s">
        <v>477</v>
      </c>
      <c r="E16" s="138"/>
      <c r="H16" t="s">
        <v>99</v>
      </c>
    </row>
    <row r="17" spans="1:5">
      <c r="A17" s="165" t="s">
        <v>716</v>
      </c>
      <c r="B17" s="65" t="s">
        <v>550</v>
      </c>
      <c r="C17" t="s">
        <v>3</v>
      </c>
      <c r="D17" t="str">
        <f t="shared" si="0"/>
        <v>Chawinda Devi</v>
      </c>
      <c r="E17" t="s">
        <v>705</v>
      </c>
    </row>
    <row r="18" spans="1:5">
      <c r="A18" s="165" t="s">
        <v>213</v>
      </c>
      <c r="B18" s="65" t="s">
        <v>215</v>
      </c>
      <c r="C18" t="s">
        <v>213</v>
      </c>
      <c r="D18" t="s">
        <v>477</v>
      </c>
      <c r="E18" t="s">
        <v>703</v>
      </c>
    </row>
    <row r="19" spans="1:5">
      <c r="A19" s="165" t="s">
        <v>717</v>
      </c>
      <c r="B19" s="65" t="s">
        <v>550</v>
      </c>
      <c r="C19" t="s">
        <v>3</v>
      </c>
      <c r="D19" t="str">
        <f t="shared" si="0"/>
        <v>CHHEHARTA</v>
      </c>
      <c r="E19" t="s">
        <v>705</v>
      </c>
    </row>
    <row r="20" spans="1:5">
      <c r="A20" s="166" t="s">
        <v>718</v>
      </c>
      <c r="B20" s="66" t="s">
        <v>550</v>
      </c>
      <c r="C20" t="s">
        <v>3</v>
      </c>
      <c r="D20" t="str">
        <f t="shared" si="0"/>
        <v>CHOGAWAN</v>
      </c>
      <c r="E20" t="s">
        <v>705</v>
      </c>
    </row>
    <row r="21" spans="1:5">
      <c r="A21" s="165" t="s">
        <v>563</v>
      </c>
      <c r="B21" s="65" t="s">
        <v>550</v>
      </c>
      <c r="C21" t="s">
        <v>3</v>
      </c>
      <c r="D21" t="str">
        <f t="shared" si="0"/>
        <v>DADUANA</v>
      </c>
      <c r="E21" t="s">
        <v>705</v>
      </c>
    </row>
    <row r="22" spans="1:5">
      <c r="A22" s="166" t="s">
        <v>564</v>
      </c>
      <c r="B22" s="66" t="s">
        <v>550</v>
      </c>
      <c r="C22" t="s">
        <v>3</v>
      </c>
      <c r="D22" t="str">
        <f t="shared" si="0"/>
        <v>EAST MOHAN NAGAR</v>
      </c>
      <c r="E22" t="s">
        <v>705</v>
      </c>
    </row>
    <row r="23" spans="1:5">
      <c r="A23" s="165" t="s">
        <v>565</v>
      </c>
      <c r="B23" s="65" t="s">
        <v>550</v>
      </c>
      <c r="C23" t="s">
        <v>3</v>
      </c>
      <c r="D23" t="str">
        <f t="shared" si="0"/>
        <v>EVENING BRANCH</v>
      </c>
      <c r="E23" t="s">
        <v>705</v>
      </c>
    </row>
    <row r="24" spans="1:5">
      <c r="A24" s="166" t="s">
        <v>719</v>
      </c>
      <c r="B24" s="66"/>
      <c r="D24" t="s">
        <v>720</v>
      </c>
      <c r="E24" t="s">
        <v>705</v>
      </c>
    </row>
    <row r="25" spans="1:5">
      <c r="A25" s="165" t="s">
        <v>566</v>
      </c>
      <c r="B25" s="65" t="s">
        <v>550</v>
      </c>
      <c r="C25" t="s">
        <v>3</v>
      </c>
      <c r="D25" t="s">
        <v>721</v>
      </c>
      <c r="E25" t="s">
        <v>705</v>
      </c>
    </row>
    <row r="26" spans="1:5">
      <c r="A26" s="166" t="s">
        <v>567</v>
      </c>
      <c r="B26" s="66" t="s">
        <v>550</v>
      </c>
      <c r="C26" t="s">
        <v>3</v>
      </c>
      <c r="D26" t="s">
        <v>722</v>
      </c>
      <c r="E26" t="s">
        <v>705</v>
      </c>
    </row>
    <row r="27" spans="1:5">
      <c r="A27" s="165" t="s">
        <v>568</v>
      </c>
      <c r="B27" s="65" t="s">
        <v>550</v>
      </c>
      <c r="C27" t="s">
        <v>3</v>
      </c>
      <c r="D27" t="s">
        <v>723</v>
      </c>
      <c r="E27" t="s">
        <v>705</v>
      </c>
    </row>
    <row r="28" spans="1:5">
      <c r="A28" s="166" t="s">
        <v>569</v>
      </c>
      <c r="B28" s="66" t="s">
        <v>550</v>
      </c>
      <c r="C28" t="s">
        <v>3</v>
      </c>
      <c r="D28" t="s">
        <v>724</v>
      </c>
      <c r="E28" t="s">
        <v>705</v>
      </c>
    </row>
    <row r="29" spans="1:5">
      <c r="A29" s="165" t="s">
        <v>570</v>
      </c>
      <c r="B29" s="65"/>
      <c r="D29" t="s">
        <v>725</v>
      </c>
      <c r="E29" t="s">
        <v>703</v>
      </c>
    </row>
    <row r="30" spans="1:5">
      <c r="A30" s="166" t="s">
        <v>571</v>
      </c>
      <c r="B30" s="66" t="s">
        <v>550</v>
      </c>
      <c r="C30" t="s">
        <v>3</v>
      </c>
      <c r="D30" t="s">
        <v>726</v>
      </c>
      <c r="E30" t="s">
        <v>705</v>
      </c>
    </row>
    <row r="31" spans="1:5">
      <c r="A31" s="165" t="s">
        <v>572</v>
      </c>
      <c r="B31" s="65" t="s">
        <v>550</v>
      </c>
      <c r="C31" t="s">
        <v>3</v>
      </c>
      <c r="D31" t="s">
        <v>727</v>
      </c>
      <c r="E31" t="s">
        <v>705</v>
      </c>
    </row>
    <row r="32" spans="1:5">
      <c r="A32" s="166" t="s">
        <v>573</v>
      </c>
      <c r="B32" s="66" t="s">
        <v>550</v>
      </c>
      <c r="C32" t="s">
        <v>3</v>
      </c>
      <c r="D32" t="s">
        <v>728</v>
      </c>
      <c r="E32" t="s">
        <v>705</v>
      </c>
    </row>
    <row r="33" spans="1:12">
      <c r="A33" s="165" t="s">
        <v>578</v>
      </c>
      <c r="B33" s="65"/>
      <c r="E33" t="s">
        <v>705</v>
      </c>
    </row>
    <row r="34" spans="1:12" ht="22.5">
      <c r="A34" s="166" t="s">
        <v>582</v>
      </c>
      <c r="B34" s="66" t="s">
        <v>550</v>
      </c>
      <c r="C34" t="s">
        <v>3</v>
      </c>
      <c r="D34" t="s">
        <v>729</v>
      </c>
      <c r="E34" t="s">
        <v>705</v>
      </c>
      <c r="I34" s="190">
        <v>1</v>
      </c>
      <c r="J34" s="177" t="s">
        <v>255</v>
      </c>
      <c r="K34" s="183">
        <v>4650</v>
      </c>
      <c r="L34" s="180">
        <f>K34*I34</f>
        <v>4650</v>
      </c>
    </row>
    <row r="35" spans="1:12" ht="22.5">
      <c r="A35" s="165" t="s">
        <v>583</v>
      </c>
      <c r="B35" s="65"/>
      <c r="E35" t="s">
        <v>703</v>
      </c>
      <c r="I35" s="190">
        <v>1</v>
      </c>
      <c r="J35" s="177" t="s">
        <v>256</v>
      </c>
      <c r="K35" s="183">
        <v>2430</v>
      </c>
      <c r="L35" s="180">
        <f t="shared" ref="L35:L44" si="1">K35*I35</f>
        <v>2430</v>
      </c>
    </row>
    <row r="36" spans="1:12" ht="33.75">
      <c r="A36" s="166" t="s">
        <v>584</v>
      </c>
      <c r="B36" s="66" t="s">
        <v>550</v>
      </c>
      <c r="C36" t="s">
        <v>3</v>
      </c>
      <c r="D36" t="s">
        <v>730</v>
      </c>
      <c r="E36" t="s">
        <v>705</v>
      </c>
      <c r="I36" s="190">
        <v>1</v>
      </c>
      <c r="J36" s="177" t="s">
        <v>257</v>
      </c>
      <c r="K36" s="183">
        <v>3340</v>
      </c>
      <c r="L36" s="180">
        <f t="shared" si="1"/>
        <v>3340</v>
      </c>
    </row>
    <row r="37" spans="1:12" ht="22.5">
      <c r="A37" s="165" t="str">
        <f>REGISTRY!B41</f>
        <v>Shimalika Jewellars Nadaun</v>
      </c>
      <c r="B37" s="65" t="str">
        <f>REGISTRY!I41</f>
        <v>02AHHPC7171N1ZB</v>
      </c>
      <c r="E37" t="s">
        <v>705</v>
      </c>
      <c r="I37" s="190">
        <v>1</v>
      </c>
      <c r="J37" s="177" t="s">
        <v>258</v>
      </c>
      <c r="K37" s="183">
        <v>8790</v>
      </c>
      <c r="L37" s="180">
        <f t="shared" si="1"/>
        <v>8790</v>
      </c>
    </row>
    <row r="38" spans="1:12" ht="33.75">
      <c r="A38" s="165" t="str">
        <f>REGISTRY!B42</f>
        <v>Nilanjan Traders Dhaneta</v>
      </c>
      <c r="B38" s="65" t="str">
        <f>REGISTRY!I42</f>
        <v>02BJMPS3708M1ZV</v>
      </c>
      <c r="C38" t="s">
        <v>153</v>
      </c>
      <c r="D38" t="s">
        <v>515</v>
      </c>
      <c r="E38" t="s">
        <v>703</v>
      </c>
      <c r="I38" s="190">
        <v>1</v>
      </c>
      <c r="J38" s="177" t="s">
        <v>259</v>
      </c>
      <c r="K38" s="183">
        <v>2660</v>
      </c>
      <c r="L38" s="180">
        <f t="shared" si="1"/>
        <v>2660</v>
      </c>
    </row>
    <row r="39" spans="1:12" ht="22.5">
      <c r="A39" s="165" t="s">
        <v>588</v>
      </c>
      <c r="B39" s="65"/>
      <c r="E39" t="s">
        <v>705</v>
      </c>
      <c r="I39" s="190">
        <v>2</v>
      </c>
      <c r="J39" s="177" t="s">
        <v>260</v>
      </c>
      <c r="K39" s="183">
        <v>77</v>
      </c>
      <c r="L39" s="180">
        <f t="shared" si="1"/>
        <v>154</v>
      </c>
    </row>
    <row r="40" spans="1:12">
      <c r="A40" s="166" t="s">
        <v>589</v>
      </c>
      <c r="B40" s="66" t="s">
        <v>550</v>
      </c>
      <c r="C40" t="s">
        <v>3</v>
      </c>
      <c r="E40" t="s">
        <v>705</v>
      </c>
      <c r="I40" s="190">
        <v>76</v>
      </c>
      <c r="J40" s="121" t="s">
        <v>166</v>
      </c>
      <c r="K40" s="171">
        <v>38</v>
      </c>
      <c r="L40" s="180">
        <f t="shared" si="1"/>
        <v>2888</v>
      </c>
    </row>
    <row r="41" spans="1:12">
      <c r="A41" s="165" t="s">
        <v>590</v>
      </c>
      <c r="B41" s="65" t="s">
        <v>550</v>
      </c>
      <c r="C41" t="s">
        <v>3</v>
      </c>
      <c r="E41" t="s">
        <v>705</v>
      </c>
      <c r="I41" s="190">
        <v>8</v>
      </c>
      <c r="J41" s="121" t="s">
        <v>161</v>
      </c>
      <c r="K41" s="171">
        <v>28</v>
      </c>
      <c r="L41" s="180">
        <f t="shared" si="1"/>
        <v>224</v>
      </c>
    </row>
    <row r="42" spans="1:12">
      <c r="A42" s="166" t="s">
        <v>591</v>
      </c>
      <c r="B42" s="66" t="s">
        <v>550</v>
      </c>
      <c r="C42" t="s">
        <v>3</v>
      </c>
      <c r="E42" t="s">
        <v>705</v>
      </c>
      <c r="I42" s="190">
        <v>1</v>
      </c>
      <c r="J42" s="121" t="s">
        <v>261</v>
      </c>
      <c r="K42" s="171">
        <v>1960</v>
      </c>
      <c r="L42" s="180">
        <f t="shared" si="1"/>
        <v>1960</v>
      </c>
    </row>
    <row r="43" spans="1:12" ht="56.25">
      <c r="A43" s="165" t="s">
        <v>592</v>
      </c>
      <c r="B43" s="65" t="s">
        <v>550</v>
      </c>
      <c r="C43" t="s">
        <v>3</v>
      </c>
      <c r="E43" t="s">
        <v>705</v>
      </c>
      <c r="I43" s="190">
        <v>2</v>
      </c>
      <c r="J43" s="177" t="s">
        <v>262</v>
      </c>
      <c r="K43" s="171">
        <v>400</v>
      </c>
      <c r="L43" s="180">
        <f t="shared" si="1"/>
        <v>800</v>
      </c>
    </row>
    <row r="44" spans="1:12">
      <c r="A44" s="166" t="s">
        <v>593</v>
      </c>
      <c r="B44" s="66" t="s">
        <v>550</v>
      </c>
      <c r="C44" t="s">
        <v>3</v>
      </c>
      <c r="E44" t="s">
        <v>705</v>
      </c>
      <c r="I44" s="190">
        <v>4</v>
      </c>
      <c r="J44" s="121" t="s">
        <v>263</v>
      </c>
      <c r="K44" s="171">
        <v>350</v>
      </c>
      <c r="L44" s="180">
        <f t="shared" si="1"/>
        <v>1400</v>
      </c>
    </row>
    <row r="45" spans="1:12">
      <c r="A45" s="165" t="s">
        <v>594</v>
      </c>
      <c r="B45" s="65" t="s">
        <v>550</v>
      </c>
      <c r="C45" t="s">
        <v>3</v>
      </c>
      <c r="E45" t="s">
        <v>705</v>
      </c>
    </row>
    <row r="46" spans="1:12">
      <c r="A46" s="166" t="s">
        <v>595</v>
      </c>
      <c r="B46" s="66" t="s">
        <v>550</v>
      </c>
      <c r="C46" t="s">
        <v>3</v>
      </c>
      <c r="E46" t="s">
        <v>705</v>
      </c>
    </row>
    <row r="47" spans="1:12">
      <c r="A47" s="165" t="s">
        <v>596</v>
      </c>
      <c r="B47" s="65" t="s">
        <v>550</v>
      </c>
      <c r="C47" t="s">
        <v>3</v>
      </c>
      <c r="E47" t="s">
        <v>705</v>
      </c>
    </row>
    <row r="48" spans="1:12">
      <c r="A48" s="166" t="s">
        <v>731</v>
      </c>
      <c r="B48" s="66"/>
      <c r="E48" t="s">
        <v>705</v>
      </c>
    </row>
    <row r="49" spans="1:5">
      <c r="A49" s="165" t="s">
        <v>597</v>
      </c>
      <c r="B49" s="65" t="s">
        <v>550</v>
      </c>
      <c r="C49" t="s">
        <v>3</v>
      </c>
      <c r="E49" t="s">
        <v>705</v>
      </c>
    </row>
    <row r="50" spans="1:5">
      <c r="A50" s="166" t="s">
        <v>598</v>
      </c>
      <c r="B50" s="66" t="s">
        <v>550</v>
      </c>
      <c r="C50" t="s">
        <v>3</v>
      </c>
      <c r="E50" t="s">
        <v>705</v>
      </c>
    </row>
    <row r="51" spans="1:5">
      <c r="A51" s="165" t="s">
        <v>599</v>
      </c>
      <c r="B51" s="65" t="s">
        <v>550</v>
      </c>
      <c r="C51" t="s">
        <v>3</v>
      </c>
      <c r="E51" t="s">
        <v>705</v>
      </c>
    </row>
    <row r="52" spans="1:5">
      <c r="A52" s="166" t="s">
        <v>600</v>
      </c>
      <c r="B52" s="66" t="s">
        <v>550</v>
      </c>
      <c r="C52" t="s">
        <v>3</v>
      </c>
      <c r="E52" t="s">
        <v>705</v>
      </c>
    </row>
    <row r="53" spans="1:5">
      <c r="A53" s="165" t="s">
        <v>601</v>
      </c>
      <c r="B53" s="65"/>
      <c r="E53" t="s">
        <v>705</v>
      </c>
    </row>
    <row r="54" spans="1:5">
      <c r="A54" s="165" t="s">
        <v>209</v>
      </c>
      <c r="B54" s="66" t="s">
        <v>211</v>
      </c>
      <c r="C54" t="s">
        <v>732</v>
      </c>
      <c r="E54" t="s">
        <v>703</v>
      </c>
    </row>
    <row r="55" spans="1:5">
      <c r="A55" s="165" t="s">
        <v>602</v>
      </c>
      <c r="B55" s="65" t="s">
        <v>550</v>
      </c>
      <c r="C55" t="s">
        <v>3</v>
      </c>
      <c r="E55" t="s">
        <v>705</v>
      </c>
    </row>
    <row r="56" spans="1:5">
      <c r="A56" s="166" t="s">
        <v>236</v>
      </c>
      <c r="B56" s="186" t="s">
        <v>239</v>
      </c>
      <c r="E56" t="s">
        <v>703</v>
      </c>
    </row>
    <row r="57" spans="1:5">
      <c r="A57" s="165" t="s">
        <v>605</v>
      </c>
      <c r="B57" s="65"/>
      <c r="C57" t="s">
        <v>3</v>
      </c>
      <c r="E57" t="s">
        <v>705</v>
      </c>
    </row>
    <row r="58" spans="1:5">
      <c r="A58" s="166"/>
      <c r="B58" s="66"/>
      <c r="E58" t="s">
        <v>703</v>
      </c>
    </row>
    <row r="59" spans="1:5">
      <c r="A59" s="165"/>
      <c r="B59" s="65"/>
      <c r="E59" t="s">
        <v>703</v>
      </c>
    </row>
    <row r="60" spans="1:5">
      <c r="A60" s="166"/>
      <c r="B60" s="66"/>
      <c r="E60" t="s">
        <v>703</v>
      </c>
    </row>
    <row r="61" spans="1:5">
      <c r="A61" s="165" t="s">
        <v>609</v>
      </c>
      <c r="B61" s="65" t="s">
        <v>550</v>
      </c>
      <c r="C61" t="s">
        <v>3</v>
      </c>
      <c r="E61" t="s">
        <v>705</v>
      </c>
    </row>
    <row r="62" spans="1:5">
      <c r="A62" s="166" t="s">
        <v>610</v>
      </c>
      <c r="B62" s="66" t="s">
        <v>550</v>
      </c>
      <c r="C62" t="s">
        <v>3</v>
      </c>
      <c r="E62" t="s">
        <v>705</v>
      </c>
    </row>
    <row r="63" spans="1:5">
      <c r="A63" s="165" t="s">
        <v>611</v>
      </c>
      <c r="B63" s="65" t="s">
        <v>550</v>
      </c>
      <c r="C63" t="s">
        <v>3</v>
      </c>
      <c r="E63" t="s">
        <v>705</v>
      </c>
    </row>
    <row r="64" spans="1:5">
      <c r="A64" s="166" t="s">
        <v>612</v>
      </c>
      <c r="B64" s="66" t="s">
        <v>550</v>
      </c>
      <c r="C64" t="s">
        <v>3</v>
      </c>
      <c r="E64" t="s">
        <v>705</v>
      </c>
    </row>
    <row r="65" spans="1:5">
      <c r="A65" s="165"/>
      <c r="B65" s="65"/>
      <c r="E65" t="s">
        <v>703</v>
      </c>
    </row>
    <row r="66" spans="1:5">
      <c r="A66" s="166" t="s">
        <v>614</v>
      </c>
      <c r="B66" s="66" t="s">
        <v>550</v>
      </c>
      <c r="C66" t="s">
        <v>3</v>
      </c>
      <c r="E66" t="s">
        <v>705</v>
      </c>
    </row>
    <row r="67" spans="1:5">
      <c r="A67" s="165" t="s">
        <v>615</v>
      </c>
      <c r="B67" s="65" t="s">
        <v>550</v>
      </c>
      <c r="C67" t="s">
        <v>3</v>
      </c>
      <c r="E67" t="s">
        <v>705</v>
      </c>
    </row>
    <row r="68" spans="1:5">
      <c r="A68" s="166"/>
      <c r="B68" s="66"/>
      <c r="E68" t="s">
        <v>703</v>
      </c>
    </row>
    <row r="69" spans="1:5">
      <c r="A69" s="165"/>
      <c r="B69" s="65"/>
      <c r="E69" t="s">
        <v>703</v>
      </c>
    </row>
    <row r="70" spans="1:5">
      <c r="A70" s="166" t="s">
        <v>617</v>
      </c>
      <c r="B70" s="66" t="s">
        <v>550</v>
      </c>
      <c r="C70" t="s">
        <v>3</v>
      </c>
      <c r="E70" t="s">
        <v>705</v>
      </c>
    </row>
    <row r="71" spans="1:5">
      <c r="A71" s="165" t="s">
        <v>618</v>
      </c>
      <c r="B71" s="65" t="s">
        <v>550</v>
      </c>
      <c r="C71" t="s">
        <v>3</v>
      </c>
      <c r="E71" t="s">
        <v>705</v>
      </c>
    </row>
    <row r="72" spans="1:5">
      <c r="A72" s="166" t="s">
        <v>621</v>
      </c>
      <c r="B72" s="66" t="s">
        <v>550</v>
      </c>
      <c r="C72" t="s">
        <v>3</v>
      </c>
      <c r="E72" t="s">
        <v>705</v>
      </c>
    </row>
    <row r="73" spans="1:5">
      <c r="A73" s="165"/>
      <c r="B73" s="65"/>
      <c r="E73" t="s">
        <v>703</v>
      </c>
    </row>
    <row r="74" spans="1:5">
      <c r="A74" s="166"/>
      <c r="B74" s="66"/>
      <c r="E74" t="s">
        <v>703</v>
      </c>
    </row>
    <row r="75" spans="1:5">
      <c r="A75" s="165"/>
      <c r="B75" s="65"/>
      <c r="E75" t="s">
        <v>705</v>
      </c>
    </row>
    <row r="76" spans="1:5">
      <c r="A76" s="166" t="s">
        <v>629</v>
      </c>
      <c r="B76" s="66" t="s">
        <v>550</v>
      </c>
      <c r="C76" t="s">
        <v>3</v>
      </c>
      <c r="E76" t="s">
        <v>705</v>
      </c>
    </row>
    <row r="77" spans="1:5">
      <c r="A77" s="165" t="s">
        <v>630</v>
      </c>
      <c r="B77" s="65" t="s">
        <v>550</v>
      </c>
      <c r="C77" t="s">
        <v>3</v>
      </c>
      <c r="E77" t="s">
        <v>705</v>
      </c>
    </row>
    <row r="78" spans="1:5">
      <c r="A78" s="166" t="s">
        <v>631</v>
      </c>
      <c r="B78" s="66" t="s">
        <v>550</v>
      </c>
      <c r="C78" t="s">
        <v>3</v>
      </c>
      <c r="E78" t="s">
        <v>705</v>
      </c>
    </row>
    <row r="79" spans="1:5">
      <c r="A79" s="165"/>
      <c r="B79" s="65"/>
      <c r="E79" t="s">
        <v>703</v>
      </c>
    </row>
    <row r="80" spans="1:5">
      <c r="A80" s="166" t="s">
        <v>733</v>
      </c>
      <c r="B80" s="66" t="s">
        <v>550</v>
      </c>
      <c r="C80" t="s">
        <v>3</v>
      </c>
      <c r="E80" t="s">
        <v>705</v>
      </c>
    </row>
    <row r="81" spans="1:5">
      <c r="A81" s="165"/>
      <c r="B81" s="65"/>
      <c r="E81" t="s">
        <v>703</v>
      </c>
    </row>
    <row r="82" spans="1:5">
      <c r="A82" s="166" t="s">
        <v>638</v>
      </c>
      <c r="B82" s="65" t="s">
        <v>294</v>
      </c>
      <c r="C82" t="s">
        <v>638</v>
      </c>
      <c r="E82" t="s">
        <v>734</v>
      </c>
    </row>
    <row r="83" spans="1:5">
      <c r="A83" s="165" t="s">
        <v>292</v>
      </c>
      <c r="B83" s="65" t="s">
        <v>294</v>
      </c>
      <c r="C83" t="s">
        <v>292</v>
      </c>
      <c r="E83" t="s">
        <v>734</v>
      </c>
    </row>
    <row r="84" spans="1:5">
      <c r="A84" s="166" t="s">
        <v>735</v>
      </c>
      <c r="B84" s="66" t="s">
        <v>550</v>
      </c>
      <c r="C84" t="s">
        <v>3</v>
      </c>
      <c r="E84" t="s">
        <v>705</v>
      </c>
    </row>
    <row r="85" spans="1:5">
      <c r="A85" s="165" t="s">
        <v>127</v>
      </c>
      <c r="B85" s="65"/>
      <c r="C85" t="s">
        <v>736</v>
      </c>
    </row>
    <row r="86" spans="1:5">
      <c r="A86" s="166" t="s">
        <v>737</v>
      </c>
      <c r="B86" s="66"/>
      <c r="C86" t="s">
        <v>3</v>
      </c>
      <c r="E86" t="s">
        <v>705</v>
      </c>
    </row>
    <row r="87" spans="1:5">
      <c r="A87" s="165" t="s">
        <v>646</v>
      </c>
      <c r="B87" s="65"/>
      <c r="C87" t="s">
        <v>3</v>
      </c>
      <c r="E87" t="s">
        <v>705</v>
      </c>
    </row>
    <row r="88" spans="1:5">
      <c r="A88" s="166"/>
      <c r="B88" s="66"/>
    </row>
    <row r="89" spans="1:5">
      <c r="A89" s="165"/>
      <c r="B89" s="65"/>
    </row>
    <row r="90" spans="1:5">
      <c r="A90" s="166"/>
      <c r="B90" s="66"/>
    </row>
    <row r="91" spans="1:5">
      <c r="A91" s="165" t="s">
        <v>647</v>
      </c>
      <c r="B91" s="65" t="s">
        <v>550</v>
      </c>
      <c r="C91" t="s">
        <v>3</v>
      </c>
      <c r="E91" t="s">
        <v>705</v>
      </c>
    </row>
    <row r="92" spans="1:5">
      <c r="A92" s="166"/>
      <c r="B92" s="66"/>
    </row>
    <row r="93" spans="1:5">
      <c r="A93" s="165"/>
      <c r="B93" s="66"/>
    </row>
    <row r="94" spans="1:5">
      <c r="A94" s="166"/>
      <c r="B94" s="66"/>
    </row>
    <row r="95" spans="1:5">
      <c r="A95" s="165"/>
    </row>
    <row r="96" spans="1:5">
      <c r="A96" s="166"/>
      <c r="B96" s="66"/>
    </row>
    <row r="97" spans="1:5">
      <c r="A97" s="165"/>
      <c r="B97" s="66"/>
    </row>
    <row r="98" spans="1:5">
      <c r="A98" s="166"/>
      <c r="B98" s="66"/>
    </row>
    <row r="99" spans="1:5">
      <c r="A99" s="165"/>
      <c r="B99" s="66"/>
    </row>
    <row r="100" spans="1:5">
      <c r="A100" s="166"/>
      <c r="B100" s="136"/>
    </row>
    <row r="101" spans="1:5">
      <c r="A101" s="165"/>
      <c r="B101" s="136"/>
    </row>
    <row r="102" spans="1:5">
      <c r="A102" s="166"/>
    </row>
    <row r="103" spans="1:5">
      <c r="A103" s="165" t="s">
        <v>738</v>
      </c>
      <c r="E103" t="s">
        <v>705</v>
      </c>
    </row>
    <row r="104" spans="1:5">
      <c r="A104" s="166" t="s">
        <v>739</v>
      </c>
      <c r="B104" s="136" t="s">
        <v>740</v>
      </c>
      <c r="E104" t="s">
        <v>705</v>
      </c>
    </row>
    <row r="105" spans="1:5">
      <c r="A105" s="165"/>
      <c r="B105" s="136"/>
    </row>
    <row r="106" spans="1:5">
      <c r="A106" s="166"/>
    </row>
    <row r="107" spans="1:5">
      <c r="A107" s="165"/>
    </row>
    <row r="108" spans="1:5">
      <c r="A108" s="165" t="s">
        <v>141</v>
      </c>
      <c r="B108" t="s">
        <v>99</v>
      </c>
    </row>
    <row r="109" spans="1:5">
      <c r="A109" s="165" t="s">
        <v>741</v>
      </c>
      <c r="B109" t="s">
        <v>742</v>
      </c>
    </row>
    <row r="110" spans="1:5">
      <c r="A110" s="166"/>
    </row>
    <row r="111" spans="1:5">
      <c r="A111" s="165"/>
    </row>
    <row r="112" spans="1:5">
      <c r="A112" s="166"/>
    </row>
    <row r="113" spans="1:5">
      <c r="A113" s="165"/>
    </row>
    <row r="114" spans="1:5">
      <c r="A114" s="166"/>
    </row>
    <row r="115" spans="1:5">
      <c r="A115" s="165" t="s">
        <v>743</v>
      </c>
    </row>
    <row r="116" spans="1:5">
      <c r="A116" s="166" t="s">
        <v>744</v>
      </c>
    </row>
    <row r="117" spans="1:5">
      <c r="A117" s="167"/>
    </row>
    <row r="118" spans="1:5">
      <c r="A118" s="168"/>
    </row>
    <row r="122" spans="1:5">
      <c r="A122" t="s">
        <v>521</v>
      </c>
      <c r="B122" t="s">
        <v>523</v>
      </c>
    </row>
    <row r="123" spans="1:5">
      <c r="A123" t="s">
        <v>97</v>
      </c>
      <c r="B123" t="s">
        <v>99</v>
      </c>
      <c r="C123" s="143"/>
      <c r="D123" s="143"/>
      <c r="E123" t="s">
        <v>703</v>
      </c>
    </row>
    <row r="124" spans="1:5">
      <c r="A124" s="128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>
    <pageSetUpPr fitToPage="1"/>
  </sheetPr>
  <dimension ref="B1:U45"/>
  <sheetViews>
    <sheetView zoomScale="96" zoomScaleNormal="96" workbookViewId="0">
      <selection activeCell="O41" sqref="O41"/>
    </sheetView>
  </sheetViews>
  <sheetFormatPr defaultRowHeight="15"/>
  <cols>
    <col min="1" max="1" width="10" customWidth="1"/>
    <col min="2" max="2" width="9.85546875" customWidth="1"/>
    <col min="3" max="3" width="15.5703125" customWidth="1"/>
    <col min="4" max="4" width="9.5703125" customWidth="1"/>
    <col min="5" max="5" width="3.5703125" customWidth="1"/>
    <col min="6" max="6" width="15.5703125" customWidth="1"/>
    <col min="7" max="7" width="10.28515625" customWidth="1"/>
    <col min="8" max="8" width="11.140625" customWidth="1"/>
    <col min="9" max="9" width="10.140625" customWidth="1"/>
    <col min="10" max="10" width="0.140625" customWidth="1"/>
    <col min="12" max="12" width="4" customWidth="1"/>
    <col min="13" max="13" width="4.42578125" customWidth="1"/>
    <col min="14" max="14" width="3.7109375" customWidth="1"/>
    <col min="15" max="15" width="38.85546875" customWidth="1"/>
    <col min="16" max="16" width="41" customWidth="1"/>
    <col min="17" max="17" width="0.140625" customWidth="1"/>
  </cols>
  <sheetData>
    <row r="1" spans="2:21" ht="20.25">
      <c r="B1" s="242" t="s">
        <v>3</v>
      </c>
      <c r="C1" s="243"/>
      <c r="D1" s="243"/>
      <c r="E1" s="243"/>
      <c r="F1" s="243"/>
      <c r="G1" s="243"/>
      <c r="H1" s="243"/>
      <c r="I1" s="243"/>
      <c r="J1" s="244"/>
      <c r="O1" s="260" t="s">
        <v>662</v>
      </c>
      <c r="P1" s="260"/>
      <c r="Q1" s="84"/>
      <c r="R1" s="84"/>
      <c r="S1" s="84"/>
      <c r="T1" s="84"/>
      <c r="U1" s="84"/>
    </row>
    <row r="2" spans="2:21" ht="18.75">
      <c r="B2" s="246" t="s">
        <v>663</v>
      </c>
      <c r="C2" s="247"/>
      <c r="D2" s="70" t="s">
        <v>664</v>
      </c>
      <c r="F2" s="108" t="s">
        <v>745</v>
      </c>
      <c r="G2" s="68"/>
      <c r="H2" s="71" t="s">
        <v>665</v>
      </c>
      <c r="I2" s="72"/>
      <c r="J2" s="73"/>
      <c r="O2" s="90" t="s">
        <v>666</v>
      </c>
      <c r="P2" s="106" t="s">
        <v>667</v>
      </c>
      <c r="Q2" s="84"/>
      <c r="R2" s="84"/>
      <c r="S2" s="84"/>
      <c r="T2" s="84"/>
      <c r="U2" s="84"/>
    </row>
    <row r="3" spans="2:21" ht="21.95" customHeight="1">
      <c r="B3" s="102" t="s">
        <v>668</v>
      </c>
      <c r="C3" s="248" t="s">
        <v>669</v>
      </c>
      <c r="D3" s="248"/>
      <c r="E3" s="248"/>
      <c r="F3" s="248"/>
      <c r="G3" s="249" t="str">
        <f>CONCATENATE(N8,P6,P7)</f>
        <v>01035055064001</v>
      </c>
      <c r="H3" s="250"/>
      <c r="I3" s="74" t="s">
        <v>670</v>
      </c>
      <c r="J3" s="73"/>
      <c r="O3" s="90" t="s">
        <v>671</v>
      </c>
      <c r="P3" s="86">
        <v>262</v>
      </c>
      <c r="Q3" s="84"/>
      <c r="R3" s="84"/>
      <c r="S3" s="84"/>
      <c r="T3" s="84"/>
      <c r="U3" s="84"/>
    </row>
    <row r="4" spans="2:21" ht="18" customHeight="1">
      <c r="B4" s="91"/>
      <c r="C4" s="28" t="s">
        <v>672</v>
      </c>
      <c r="D4" s="92">
        <f>P3</f>
        <v>262</v>
      </c>
      <c r="E4" s="93" t="s">
        <v>673</v>
      </c>
      <c r="F4" s="92" t="str">
        <f>P2</f>
        <v>M/s e-syndicates</v>
      </c>
      <c r="G4" s="94" t="s">
        <v>674</v>
      </c>
      <c r="H4" s="107">
        <f>P4</f>
        <v>43055</v>
      </c>
      <c r="I4" s="104">
        <f>P5</f>
        <v>424</v>
      </c>
      <c r="J4" s="73"/>
      <c r="O4" s="90" t="s">
        <v>675</v>
      </c>
      <c r="P4" s="87">
        <v>43055</v>
      </c>
      <c r="Q4" s="84"/>
      <c r="R4" s="84"/>
      <c r="S4" s="84"/>
      <c r="T4" s="84"/>
      <c r="U4" s="84"/>
    </row>
    <row r="5" spans="2:21" ht="18" customHeight="1">
      <c r="B5" s="95"/>
      <c r="C5" s="264" t="s">
        <v>676</v>
      </c>
      <c r="D5" s="264"/>
      <c r="E5" s="239" t="str">
        <f>P8</f>
        <v>escan Anti Virus Software at L92AX87</v>
      </c>
      <c r="F5" s="239"/>
      <c r="G5" s="239"/>
      <c r="H5" s="265"/>
      <c r="I5" s="74"/>
      <c r="J5" s="73"/>
      <c r="O5" s="90" t="s">
        <v>677</v>
      </c>
      <c r="P5" s="86">
        <v>424</v>
      </c>
      <c r="Q5" s="84">
        <f>P5*18%</f>
        <v>76.319999999999993</v>
      </c>
      <c r="R5" s="84"/>
      <c r="S5" s="84"/>
      <c r="T5" s="84"/>
      <c r="U5" s="84"/>
    </row>
    <row r="6" spans="2:21" ht="18" customHeight="1">
      <c r="B6" s="95"/>
      <c r="C6" s="96"/>
      <c r="D6" s="96"/>
      <c r="E6" s="253" t="str">
        <f>CONCATENATE($N$8,$P$6,P10)</f>
        <v>01035055004003</v>
      </c>
      <c r="F6" s="253"/>
      <c r="G6" s="96" t="s">
        <v>678</v>
      </c>
      <c r="H6" s="97"/>
      <c r="I6" s="100">
        <f>ROUND(($Q$5/4),0)</f>
        <v>19</v>
      </c>
      <c r="J6" s="73"/>
      <c r="O6" s="90" t="s">
        <v>679</v>
      </c>
      <c r="P6" s="88">
        <v>103</v>
      </c>
      <c r="Q6" s="84"/>
      <c r="R6" s="84"/>
      <c r="S6" s="84"/>
      <c r="T6" s="84"/>
      <c r="U6" s="84"/>
    </row>
    <row r="7" spans="2:21" ht="18" customHeight="1">
      <c r="B7" s="95"/>
      <c r="C7" s="96"/>
      <c r="D7" s="96"/>
      <c r="E7" s="253" t="str">
        <f>CONCATENATE($N$8,$P$6,P11)</f>
        <v>01035055004004</v>
      </c>
      <c r="F7" s="253"/>
      <c r="G7" s="96" t="s">
        <v>680</v>
      </c>
      <c r="H7" s="97"/>
      <c r="I7" s="100">
        <f>ROUND(($Q$5/4),0)</f>
        <v>19</v>
      </c>
      <c r="J7" s="73"/>
      <c r="O7" s="90" t="s">
        <v>681</v>
      </c>
      <c r="P7" s="86">
        <v>5055064001</v>
      </c>
      <c r="Q7" s="84" t="s">
        <v>682</v>
      </c>
      <c r="R7" s="84"/>
      <c r="S7" s="84"/>
      <c r="T7" s="84"/>
      <c r="U7" s="84"/>
    </row>
    <row r="8" spans="2:21" ht="18" customHeight="1">
      <c r="B8" s="95"/>
      <c r="C8" s="96"/>
      <c r="D8" s="96"/>
      <c r="E8" s="253" t="str">
        <f>CONCATENATE($N$8,$P$6,P12)</f>
        <v>01035022120004</v>
      </c>
      <c r="F8" s="253"/>
      <c r="G8" s="96" t="s">
        <v>683</v>
      </c>
      <c r="H8" s="97"/>
      <c r="I8" s="100">
        <f>ROUND(($Q$5/4),0)</f>
        <v>19</v>
      </c>
      <c r="J8" s="73"/>
      <c r="N8" s="76">
        <v>0</v>
      </c>
      <c r="O8" s="90" t="s">
        <v>684</v>
      </c>
      <c r="P8" s="106" t="s">
        <v>746</v>
      </c>
      <c r="Q8" s="84"/>
      <c r="R8" s="84"/>
      <c r="S8" s="84"/>
      <c r="T8" s="84"/>
      <c r="U8" s="84"/>
    </row>
    <row r="9" spans="2:21" ht="18" customHeight="1">
      <c r="B9" s="95"/>
      <c r="C9" s="96"/>
      <c r="D9" s="96"/>
      <c r="E9" s="253" t="str">
        <f>CONCATENATE($N$8,$P$6,P13)</f>
        <v>01035022120005</v>
      </c>
      <c r="F9" s="253"/>
      <c r="G9" s="96" t="s">
        <v>686</v>
      </c>
      <c r="H9" s="97"/>
      <c r="I9" s="100">
        <f>ROUND(($Q$5/4),0)</f>
        <v>19</v>
      </c>
      <c r="J9" s="73"/>
      <c r="N9" s="77"/>
      <c r="O9" s="89" t="s">
        <v>687</v>
      </c>
      <c r="P9" s="85">
        <v>10335001100024</v>
      </c>
      <c r="Q9" s="84"/>
      <c r="R9" s="84"/>
      <c r="S9" s="84"/>
      <c r="T9" s="84"/>
      <c r="U9" s="84"/>
    </row>
    <row r="10" spans="2:21" ht="21.95" customHeight="1">
      <c r="B10" s="91"/>
      <c r="C10" s="28"/>
      <c r="D10" s="28"/>
      <c r="E10" s="28"/>
      <c r="F10" s="28"/>
      <c r="G10" s="28"/>
      <c r="H10" s="103" t="s">
        <v>43</v>
      </c>
      <c r="I10" s="104">
        <f>ROUND(SUM(I4:I9),1)</f>
        <v>500</v>
      </c>
      <c r="J10" s="73"/>
      <c r="N10" s="77"/>
      <c r="O10" s="89" t="s">
        <v>688</v>
      </c>
      <c r="P10" s="85">
        <v>5055004003</v>
      </c>
      <c r="Q10" s="84"/>
      <c r="R10" s="84"/>
      <c r="S10" s="84"/>
      <c r="T10" s="84"/>
      <c r="U10" s="84"/>
    </row>
    <row r="11" spans="2:21" ht="21.95" customHeight="1">
      <c r="B11" s="98" t="s">
        <v>689</v>
      </c>
      <c r="C11" s="254" t="str">
        <f>O15</f>
        <v>M/s e-syndicates    010335001100024</v>
      </c>
      <c r="D11" s="254"/>
      <c r="E11" s="254"/>
      <c r="F11" s="254"/>
      <c r="G11" s="254"/>
      <c r="H11" s="255"/>
      <c r="I11" s="105">
        <f>I10</f>
        <v>500</v>
      </c>
      <c r="J11" s="73"/>
      <c r="N11" s="77"/>
      <c r="O11" s="89" t="s">
        <v>680</v>
      </c>
      <c r="P11" s="85">
        <v>5055004004</v>
      </c>
      <c r="Q11" s="84"/>
      <c r="R11" s="84"/>
      <c r="S11" s="84"/>
      <c r="T11" s="84"/>
      <c r="U11" s="84"/>
    </row>
    <row r="12" spans="2:21" ht="18" customHeight="1">
      <c r="B12" s="99"/>
      <c r="C12" s="256" t="s">
        <v>690</v>
      </c>
      <c r="D12" s="256"/>
      <c r="E12" s="256"/>
      <c r="F12" s="256"/>
      <c r="G12" s="256"/>
      <c r="H12" s="257"/>
      <c r="I12" s="74"/>
      <c r="J12" s="73"/>
      <c r="N12" s="77"/>
      <c r="O12" s="89" t="s">
        <v>683</v>
      </c>
      <c r="P12" s="85">
        <v>5022120004</v>
      </c>
      <c r="Q12" s="84"/>
      <c r="R12" s="84"/>
      <c r="S12" s="84"/>
      <c r="T12" s="84"/>
      <c r="U12" s="84"/>
    </row>
    <row r="13" spans="2:21" ht="18" customHeight="1">
      <c r="B13" s="99"/>
      <c r="C13" s="258" t="e">
        <f ca="1">[5]!rswords(I11)</f>
        <v>#NAME?</v>
      </c>
      <c r="D13" s="258"/>
      <c r="E13" s="258"/>
      <c r="F13" s="258"/>
      <c r="G13" s="258"/>
      <c r="H13" s="259"/>
      <c r="I13" s="74"/>
      <c r="J13" s="73"/>
      <c r="N13" s="77"/>
      <c r="O13" s="89" t="s">
        <v>686</v>
      </c>
      <c r="P13" s="85">
        <v>5022120005</v>
      </c>
      <c r="Q13" s="84"/>
      <c r="R13" s="84"/>
      <c r="S13" s="84"/>
      <c r="T13" s="84"/>
      <c r="U13" s="84"/>
    </row>
    <row r="14" spans="2:21" ht="18" customHeight="1">
      <c r="B14" s="99"/>
      <c r="C14" s="96"/>
      <c r="D14" s="96"/>
      <c r="E14" s="96"/>
      <c r="F14" s="96"/>
      <c r="G14" s="96"/>
      <c r="H14" s="97"/>
      <c r="I14" s="74"/>
      <c r="J14" s="73"/>
      <c r="O14" s="89" t="s">
        <v>747</v>
      </c>
      <c r="P14" s="109" t="s">
        <v>748</v>
      </c>
    </row>
    <row r="15" spans="2:21" ht="18" customHeight="1">
      <c r="B15" s="99"/>
      <c r="C15" s="96"/>
      <c r="D15" s="96"/>
      <c r="E15" s="96"/>
      <c r="F15" s="96"/>
      <c r="G15" s="96"/>
      <c r="H15" s="97"/>
      <c r="I15" s="74"/>
      <c r="J15" s="73"/>
      <c r="O15" s="89" t="str">
        <f>CONCATENATE(P2,"    0",P9)</f>
        <v>M/s e-syndicates    010335001100024</v>
      </c>
      <c r="P15" s="85"/>
    </row>
    <row r="16" spans="2:21" ht="21.95" customHeight="1">
      <c r="B16" s="99"/>
      <c r="C16" s="96"/>
      <c r="D16" s="96"/>
      <c r="E16" s="96"/>
      <c r="F16" s="96"/>
      <c r="G16" s="96"/>
      <c r="H16" s="97"/>
      <c r="I16" s="105">
        <f>SUM(I11:I15)</f>
        <v>500</v>
      </c>
      <c r="J16" s="73"/>
    </row>
    <row r="17" spans="2:15">
      <c r="B17" s="83"/>
      <c r="C17" s="75"/>
      <c r="D17" s="75"/>
      <c r="E17" s="75"/>
      <c r="F17" s="75"/>
      <c r="G17" s="75"/>
      <c r="H17" s="75"/>
      <c r="I17" s="27"/>
      <c r="J17" s="73"/>
      <c r="O17">
        <f>54/4</f>
        <v>13.5</v>
      </c>
    </row>
    <row r="18" spans="2:15">
      <c r="B18" s="101" t="s">
        <v>691</v>
      </c>
      <c r="C18" s="68"/>
      <c r="D18" s="252" t="s">
        <v>519</v>
      </c>
      <c r="E18" s="252"/>
      <c r="F18" s="68"/>
      <c r="G18" s="68" t="s">
        <v>692</v>
      </c>
      <c r="H18" s="68"/>
      <c r="I18" s="73" t="s">
        <v>532</v>
      </c>
      <c r="J18" s="73"/>
    </row>
    <row r="19" spans="2:15">
      <c r="B19" s="78"/>
      <c r="C19" s="68"/>
      <c r="D19" s="68"/>
      <c r="E19" s="68"/>
      <c r="F19" s="68"/>
      <c r="G19" s="68"/>
      <c r="H19" s="68"/>
      <c r="I19" s="73"/>
      <c r="J19" s="73"/>
    </row>
    <row r="20" spans="2:15">
      <c r="B20" s="79"/>
      <c r="C20" s="80"/>
      <c r="D20" s="80"/>
      <c r="E20" s="80"/>
      <c r="F20" s="80"/>
      <c r="G20" s="80"/>
      <c r="H20" s="80"/>
      <c r="I20" s="81"/>
      <c r="J20" s="81"/>
    </row>
    <row r="25" spans="2:15" ht="15.75">
      <c r="L25" s="82"/>
      <c r="M25" s="82"/>
      <c r="N25" s="82"/>
      <c r="O25" s="82">
        <f>3450*100/118</f>
        <v>2923.7288135593221</v>
      </c>
    </row>
    <row r="26" spans="2:15">
      <c r="F26">
        <v>9600</v>
      </c>
    </row>
    <row r="27" spans="2:15">
      <c r="F27">
        <v>1800</v>
      </c>
    </row>
    <row r="28" spans="2:15">
      <c r="F28">
        <v>1400</v>
      </c>
    </row>
    <row r="29" spans="2:15">
      <c r="F29">
        <v>500</v>
      </c>
    </row>
    <row r="30" spans="2:15">
      <c r="F30">
        <v>100</v>
      </c>
    </row>
    <row r="31" spans="2:15">
      <c r="F31">
        <v>1660</v>
      </c>
    </row>
    <row r="32" spans="2:15">
      <c r="F32">
        <v>50</v>
      </c>
    </row>
    <row r="33" spans="6:15">
      <c r="F33">
        <v>1116</v>
      </c>
    </row>
    <row r="34" spans="6:15">
      <c r="F34">
        <v>180</v>
      </c>
      <c r="O34">
        <v>5758</v>
      </c>
    </row>
    <row r="35" spans="6:15">
      <c r="F35">
        <v>500</v>
      </c>
      <c r="O35">
        <v>2600</v>
      </c>
    </row>
    <row r="36" spans="6:15">
      <c r="F36">
        <v>1340</v>
      </c>
      <c r="O36">
        <v>3536</v>
      </c>
    </row>
    <row r="37" spans="6:15">
      <c r="F37">
        <v>350</v>
      </c>
      <c r="O37">
        <v>2900</v>
      </c>
    </row>
    <row r="38" spans="6:15">
      <c r="F38">
        <v>350</v>
      </c>
    </row>
    <row r="39" spans="6:15">
      <c r="F39">
        <v>920</v>
      </c>
    </row>
    <row r="40" spans="6:15">
      <c r="F40">
        <v>180</v>
      </c>
    </row>
    <row r="41" spans="6:15">
      <c r="F41">
        <v>969</v>
      </c>
    </row>
    <row r="42" spans="6:15">
      <c r="F42">
        <v>200</v>
      </c>
    </row>
    <row r="43" spans="6:15">
      <c r="F43">
        <v>5500</v>
      </c>
    </row>
    <row r="44" spans="6:15">
      <c r="F44">
        <v>600</v>
      </c>
    </row>
    <row r="45" spans="6:15">
      <c r="F45">
        <f>SUM(F26:F44)</f>
        <v>27315</v>
      </c>
    </row>
  </sheetData>
  <mergeCells count="15">
    <mergeCell ref="C5:D5"/>
    <mergeCell ref="E5:H5"/>
    <mergeCell ref="B1:J1"/>
    <mergeCell ref="O1:P1"/>
    <mergeCell ref="B2:C2"/>
    <mergeCell ref="C3:F3"/>
    <mergeCell ref="G3:H3"/>
    <mergeCell ref="C13:H13"/>
    <mergeCell ref="D18:E18"/>
    <mergeCell ref="E6:F6"/>
    <mergeCell ref="E7:F7"/>
    <mergeCell ref="E8:F8"/>
    <mergeCell ref="E9:F9"/>
    <mergeCell ref="C11:H11"/>
    <mergeCell ref="C12:H12"/>
  </mergeCells>
  <pageMargins left="0.70866141732283472" right="0.70866141732283472" top="0.74803149606299213" bottom="0.74803149606299213" header="0.31496062992125984" footer="0.31496062992125984"/>
  <pageSetup paperSize="9" scale="91" fitToHeight="0" orientation="portrait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M60"/>
  <sheetViews>
    <sheetView workbookViewId="0">
      <selection activeCell="C9" sqref="C9:D12"/>
    </sheetView>
  </sheetViews>
  <sheetFormatPr defaultRowHeight="15"/>
  <cols>
    <col min="1" max="1" width="9.140625" style="142"/>
    <col min="2" max="2" width="26.140625" bestFit="1" customWidth="1"/>
    <col min="11" max="11" width="10.5703125" bestFit="1" customWidth="1"/>
    <col min="12" max="12" width="9.5703125" bestFit="1" customWidth="1"/>
    <col min="13" max="13" width="10.5703125" bestFit="1" customWidth="1"/>
  </cols>
  <sheetData>
    <row r="1" spans="1:10">
      <c r="A1" s="142" t="s">
        <v>749</v>
      </c>
      <c r="B1" t="s">
        <v>750</v>
      </c>
    </row>
    <row r="2" spans="1:10">
      <c r="A2" s="144">
        <v>101</v>
      </c>
      <c r="B2" t="s">
        <v>751</v>
      </c>
      <c r="C2" s="143"/>
    </row>
    <row r="3" spans="1:10">
      <c r="A3" s="144">
        <v>102</v>
      </c>
      <c r="B3" t="s">
        <v>752</v>
      </c>
      <c r="C3" s="143"/>
    </row>
    <row r="4" spans="1:10">
      <c r="A4" s="144">
        <v>103</v>
      </c>
      <c r="B4" t="s">
        <v>753</v>
      </c>
      <c r="C4" s="143"/>
    </row>
    <row r="5" spans="1:10">
      <c r="A5" s="144">
        <v>104</v>
      </c>
      <c r="B5" t="s">
        <v>754</v>
      </c>
      <c r="C5" s="143"/>
    </row>
    <row r="6" spans="1:10">
      <c r="A6" s="144">
        <v>105</v>
      </c>
      <c r="B6" t="s">
        <v>755</v>
      </c>
      <c r="C6" s="143"/>
    </row>
    <row r="7" spans="1:10">
      <c r="A7" s="144">
        <v>106</v>
      </c>
      <c r="B7" t="s">
        <v>564</v>
      </c>
      <c r="C7" s="143"/>
    </row>
    <row r="8" spans="1:10">
      <c r="A8" s="144">
        <v>107</v>
      </c>
      <c r="B8" t="s">
        <v>598</v>
      </c>
      <c r="C8" s="143"/>
    </row>
    <row r="9" spans="1:10">
      <c r="A9" s="144">
        <v>108</v>
      </c>
      <c r="B9" t="s">
        <v>756</v>
      </c>
      <c r="C9" s="121" t="s">
        <v>757</v>
      </c>
      <c r="D9" s="171">
        <v>350</v>
      </c>
      <c r="J9">
        <v>225</v>
      </c>
    </row>
    <row r="10" spans="1:10">
      <c r="A10" s="144">
        <v>109</v>
      </c>
      <c r="B10" t="s">
        <v>758</v>
      </c>
      <c r="C10" s="121" t="s">
        <v>337</v>
      </c>
      <c r="D10" s="171">
        <v>300</v>
      </c>
      <c r="J10">
        <v>1.1000000000000001</v>
      </c>
    </row>
    <row r="11" spans="1:10">
      <c r="A11" s="144">
        <v>110</v>
      </c>
      <c r="B11" t="s">
        <v>733</v>
      </c>
      <c r="C11" s="121" t="s">
        <v>759</v>
      </c>
      <c r="D11" s="171">
        <v>700</v>
      </c>
      <c r="J11">
        <f>J9-J10-106.49</f>
        <v>117.41000000000001</v>
      </c>
    </row>
    <row r="12" spans="1:10">
      <c r="A12" s="144">
        <v>111</v>
      </c>
      <c r="B12" t="s">
        <v>704</v>
      </c>
      <c r="C12" s="121" t="s">
        <v>760</v>
      </c>
      <c r="D12" s="171">
        <v>1870</v>
      </c>
    </row>
    <row r="13" spans="1:10">
      <c r="A13" s="144">
        <v>112</v>
      </c>
      <c r="B13" t="s">
        <v>761</v>
      </c>
      <c r="C13" s="143"/>
    </row>
    <row r="14" spans="1:10">
      <c r="A14" s="144">
        <v>113</v>
      </c>
      <c r="B14" t="s">
        <v>712</v>
      </c>
      <c r="C14" s="143"/>
    </row>
    <row r="15" spans="1:10">
      <c r="A15" s="144">
        <v>114</v>
      </c>
      <c r="B15" t="s">
        <v>711</v>
      </c>
      <c r="C15" s="143"/>
    </row>
    <row r="16" spans="1:10">
      <c r="A16" s="144">
        <v>115</v>
      </c>
      <c r="B16" t="s">
        <v>709</v>
      </c>
      <c r="C16" s="143"/>
    </row>
    <row r="17" spans="1:13">
      <c r="A17" s="144">
        <v>116</v>
      </c>
      <c r="B17" t="s">
        <v>762</v>
      </c>
      <c r="C17" s="143"/>
    </row>
    <row r="18" spans="1:13">
      <c r="A18" s="144">
        <v>117</v>
      </c>
      <c r="B18" t="s">
        <v>763</v>
      </c>
      <c r="C18" s="143"/>
    </row>
    <row r="19" spans="1:13">
      <c r="A19" s="144">
        <v>118</v>
      </c>
      <c r="B19" t="s">
        <v>718</v>
      </c>
      <c r="C19" s="143"/>
      <c r="K19">
        <v>15900</v>
      </c>
    </row>
    <row r="20" spans="1:13">
      <c r="A20" s="144">
        <v>119</v>
      </c>
      <c r="B20" t="s">
        <v>567</v>
      </c>
      <c r="C20" s="143"/>
      <c r="K20">
        <v>4040</v>
      </c>
      <c r="L20">
        <f>K20*100/118</f>
        <v>3423.7288135593221</v>
      </c>
      <c r="M20">
        <f>L20/4</f>
        <v>855.93220338983053</v>
      </c>
    </row>
    <row r="21" spans="1:13">
      <c r="A21" s="144">
        <v>120</v>
      </c>
      <c r="B21" t="s">
        <v>764</v>
      </c>
      <c r="C21" s="143"/>
      <c r="K21">
        <v>17000</v>
      </c>
      <c r="M21">
        <v>36940</v>
      </c>
    </row>
    <row r="22" spans="1:13">
      <c r="A22" s="144">
        <v>121</v>
      </c>
      <c r="B22" t="s">
        <v>584</v>
      </c>
      <c r="C22" s="143"/>
      <c r="K22">
        <f>SUM(K19:K21)</f>
        <v>36940</v>
      </c>
      <c r="L22">
        <f>K22-36940</f>
        <v>0</v>
      </c>
    </row>
    <row r="23" spans="1:13">
      <c r="A23" s="144">
        <v>122</v>
      </c>
      <c r="B23" t="s">
        <v>592</v>
      </c>
      <c r="C23" s="143"/>
    </row>
    <row r="24" spans="1:13">
      <c r="A24" s="144">
        <v>123</v>
      </c>
      <c r="B24" t="s">
        <v>593</v>
      </c>
      <c r="C24" s="143"/>
    </row>
    <row r="25" spans="1:13">
      <c r="A25" s="144">
        <v>124</v>
      </c>
      <c r="B25" t="s">
        <v>599</v>
      </c>
      <c r="C25" s="143"/>
    </row>
    <row r="26" spans="1:13">
      <c r="A26" s="144">
        <v>125</v>
      </c>
      <c r="B26" t="s">
        <v>595</v>
      </c>
      <c r="C26" s="143"/>
    </row>
    <row r="27" spans="1:13">
      <c r="A27" s="144">
        <v>126</v>
      </c>
      <c r="B27" t="s">
        <v>602</v>
      </c>
      <c r="C27" s="143"/>
    </row>
    <row r="28" spans="1:13">
      <c r="A28" s="144">
        <v>127</v>
      </c>
      <c r="B28" t="s">
        <v>610</v>
      </c>
      <c r="C28" s="143"/>
    </row>
    <row r="29" spans="1:13">
      <c r="A29" s="144">
        <v>128</v>
      </c>
      <c r="B29" t="s">
        <v>614</v>
      </c>
      <c r="C29" s="143"/>
    </row>
    <row r="30" spans="1:13">
      <c r="A30" s="144">
        <v>129</v>
      </c>
      <c r="B30" t="s">
        <v>612</v>
      </c>
      <c r="C30" s="143"/>
    </row>
    <row r="31" spans="1:13">
      <c r="A31" s="144">
        <v>130</v>
      </c>
      <c r="B31" t="s">
        <v>615</v>
      </c>
      <c r="C31" s="143"/>
    </row>
    <row r="32" spans="1:13">
      <c r="A32" s="144">
        <v>131</v>
      </c>
      <c r="B32" t="s">
        <v>631</v>
      </c>
      <c r="C32" s="143"/>
    </row>
    <row r="33" spans="1:3">
      <c r="A33" s="144">
        <v>132</v>
      </c>
      <c r="B33" t="s">
        <v>629</v>
      </c>
      <c r="C33" s="143"/>
    </row>
    <row r="34" spans="1:3">
      <c r="A34" s="144">
        <v>133</v>
      </c>
      <c r="B34" t="s">
        <v>765</v>
      </c>
      <c r="C34" s="143"/>
    </row>
    <row r="35" spans="1:3">
      <c r="A35" s="144">
        <v>134</v>
      </c>
      <c r="B35" t="s">
        <v>766</v>
      </c>
      <c r="C35" s="143"/>
    </row>
    <row r="36" spans="1:3">
      <c r="A36" s="144">
        <v>135</v>
      </c>
      <c r="B36" t="s">
        <v>569</v>
      </c>
      <c r="C36" s="143"/>
    </row>
    <row r="37" spans="1:3">
      <c r="A37" s="144">
        <v>136</v>
      </c>
      <c r="B37" t="s">
        <v>589</v>
      </c>
      <c r="C37" s="143"/>
    </row>
    <row r="38" spans="1:3">
      <c r="A38" s="144">
        <v>137</v>
      </c>
      <c r="B38" t="s">
        <v>591</v>
      </c>
      <c r="C38" s="143"/>
    </row>
    <row r="39" spans="1:3">
      <c r="A39" s="144">
        <v>138</v>
      </c>
      <c r="B39" t="s">
        <v>621</v>
      </c>
      <c r="C39" s="143"/>
    </row>
    <row r="40" spans="1:3">
      <c r="A40" s="144">
        <v>139</v>
      </c>
      <c r="B40" t="s">
        <v>767</v>
      </c>
      <c r="C40" s="143"/>
    </row>
    <row r="41" spans="1:3">
      <c r="A41" s="144">
        <v>140</v>
      </c>
      <c r="B41" t="s">
        <v>708</v>
      </c>
      <c r="C41" s="143"/>
    </row>
    <row r="42" spans="1:3">
      <c r="A42" s="144">
        <v>141</v>
      </c>
      <c r="B42" t="s">
        <v>768</v>
      </c>
      <c r="C42" s="143"/>
    </row>
    <row r="43" spans="1:3">
      <c r="A43" s="144">
        <v>142</v>
      </c>
      <c r="B43" t="s">
        <v>714</v>
      </c>
      <c r="C43" s="143"/>
    </row>
    <row r="44" spans="1:3">
      <c r="A44" s="144">
        <v>143</v>
      </c>
      <c r="B44" t="s">
        <v>715</v>
      </c>
      <c r="C44" s="143"/>
    </row>
    <row r="45" spans="1:3">
      <c r="A45" s="144">
        <v>144</v>
      </c>
      <c r="B45" t="s">
        <v>563</v>
      </c>
      <c r="C45" s="143"/>
    </row>
    <row r="46" spans="1:3">
      <c r="A46" s="144">
        <v>145</v>
      </c>
      <c r="B46" t="s">
        <v>571</v>
      </c>
      <c r="C46" s="143"/>
    </row>
    <row r="47" spans="1:3">
      <c r="A47" s="144">
        <v>146</v>
      </c>
      <c r="B47" t="s">
        <v>568</v>
      </c>
      <c r="C47" s="143"/>
    </row>
    <row r="48" spans="1:3">
      <c r="A48" s="144">
        <v>147</v>
      </c>
      <c r="B48" t="s">
        <v>582</v>
      </c>
      <c r="C48" s="143"/>
    </row>
    <row r="49" spans="1:3">
      <c r="A49" s="144">
        <v>148</v>
      </c>
      <c r="B49" t="s">
        <v>587</v>
      </c>
      <c r="C49" s="143"/>
    </row>
    <row r="50" spans="1:3">
      <c r="A50" s="144">
        <v>149</v>
      </c>
      <c r="B50" t="s">
        <v>769</v>
      </c>
      <c r="C50" s="143"/>
    </row>
    <row r="51" spans="1:3">
      <c r="A51" s="144">
        <v>150</v>
      </c>
      <c r="B51" t="s">
        <v>596</v>
      </c>
      <c r="C51" s="143"/>
    </row>
    <row r="52" spans="1:3">
      <c r="A52" s="144">
        <v>151</v>
      </c>
      <c r="B52" t="s">
        <v>600</v>
      </c>
      <c r="C52" s="143"/>
    </row>
    <row r="53" spans="1:3">
      <c r="A53" s="144">
        <v>152</v>
      </c>
      <c r="B53" t="s">
        <v>597</v>
      </c>
      <c r="C53" s="143"/>
    </row>
    <row r="54" spans="1:3">
      <c r="A54" s="144">
        <v>153</v>
      </c>
      <c r="B54" t="s">
        <v>770</v>
      </c>
      <c r="C54" s="143"/>
    </row>
    <row r="55" spans="1:3">
      <c r="A55" s="144">
        <v>154</v>
      </c>
      <c r="B55" t="s">
        <v>771</v>
      </c>
      <c r="C55" s="143"/>
    </row>
    <row r="56" spans="1:3">
      <c r="A56" s="144">
        <v>155</v>
      </c>
      <c r="B56" t="s">
        <v>630</v>
      </c>
      <c r="C56" s="143"/>
    </row>
    <row r="57" spans="1:3">
      <c r="A57" s="144">
        <v>156</v>
      </c>
      <c r="B57" t="s">
        <v>772</v>
      </c>
      <c r="C57" s="143"/>
    </row>
    <row r="58" spans="1:3">
      <c r="A58" s="144">
        <v>157</v>
      </c>
      <c r="B58" t="s">
        <v>773</v>
      </c>
      <c r="C58" s="143"/>
    </row>
    <row r="59" spans="1:3">
      <c r="A59" s="144">
        <v>158</v>
      </c>
      <c r="B59" t="s">
        <v>774</v>
      </c>
      <c r="C59" s="143"/>
    </row>
    <row r="60" spans="1:3">
      <c r="A60" s="144">
        <v>0</v>
      </c>
      <c r="B60" t="s">
        <v>775</v>
      </c>
      <c r="C60" s="143"/>
    </row>
  </sheetData>
  <pageMargins left="0.7" right="0.7" top="0.75" bottom="0.75" header="0.3" footer="0.3"/>
  <pageSetup paperSize="9"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2">
    <pageSetUpPr fitToPage="1"/>
  </sheetPr>
  <dimension ref="A1:R63"/>
  <sheetViews>
    <sheetView showZeros="0" topLeftCell="A10" zoomScale="112" zoomScaleNormal="112" workbookViewId="0">
      <selection activeCell="D23" sqref="D23"/>
    </sheetView>
  </sheetViews>
  <sheetFormatPr defaultRowHeight="15"/>
  <cols>
    <col min="1" max="1" width="1.7109375" customWidth="1"/>
    <col min="2" max="2" width="15.42578125" customWidth="1"/>
    <col min="3" max="3" width="46.5703125" customWidth="1"/>
    <col min="4" max="4" width="15.140625" customWidth="1"/>
    <col min="5" max="5" width="19.5703125" customWidth="1"/>
    <col min="7" max="8" width="10.5703125" customWidth="1"/>
    <col min="9" max="9" width="12.7109375" customWidth="1"/>
    <col min="10" max="10" width="10.5703125" customWidth="1"/>
    <col min="11" max="11" width="11.28515625" customWidth="1"/>
    <col min="12" max="12" width="17" customWidth="1"/>
    <col min="13" max="13" width="20.42578125" customWidth="1"/>
    <col min="14" max="14" width="12.140625" customWidth="1"/>
    <col min="15" max="15" width="9.7109375" bestFit="1" customWidth="1"/>
    <col min="16" max="16" width="16.140625" customWidth="1"/>
    <col min="17" max="17" width="18.42578125" bestFit="1" customWidth="1"/>
  </cols>
  <sheetData>
    <row r="1" spans="1:18" ht="33.75">
      <c r="A1" s="10"/>
      <c r="B1" s="33"/>
      <c r="C1" s="169" t="s">
        <v>0</v>
      </c>
      <c r="D1" s="205" t="s">
        <v>1</v>
      </c>
      <c r="E1" s="206"/>
      <c r="F1" s="10"/>
      <c r="G1" s="11" t="s">
        <v>2</v>
      </c>
      <c r="H1" s="11"/>
      <c r="I1" s="11"/>
      <c r="J1" s="11"/>
      <c r="K1" s="11"/>
      <c r="L1" s="205" t="s">
        <v>1</v>
      </c>
      <c r="M1" s="206"/>
      <c r="N1" s="2"/>
      <c r="O1" s="2"/>
      <c r="P1" s="2"/>
      <c r="Q1" s="207" t="s">
        <v>3</v>
      </c>
      <c r="R1" s="208"/>
    </row>
    <row r="2" spans="1:18" ht="18.75">
      <c r="A2" s="10"/>
      <c r="B2" s="34" t="s">
        <v>4</v>
      </c>
      <c r="C2" s="69"/>
      <c r="D2" s="9" t="s">
        <v>776</v>
      </c>
      <c r="E2" s="184">
        <v>45930</v>
      </c>
      <c r="F2" s="10"/>
      <c r="G2" s="11"/>
      <c r="H2" s="11"/>
      <c r="I2" s="179" t="s">
        <v>6</v>
      </c>
      <c r="J2" s="11"/>
      <c r="K2" s="11"/>
      <c r="L2" s="11"/>
      <c r="M2" s="2"/>
      <c r="N2" s="2"/>
      <c r="O2" s="2"/>
      <c r="P2" s="2"/>
    </row>
    <row r="3" spans="1:18" ht="18" customHeight="1">
      <c r="A3" s="10"/>
      <c r="B3" s="157" t="s">
        <v>777</v>
      </c>
      <c r="C3" s="122"/>
      <c r="D3" s="217" t="s">
        <v>8</v>
      </c>
      <c r="E3" s="218"/>
      <c r="F3" s="10"/>
      <c r="G3" s="11"/>
      <c r="H3" s="11"/>
      <c r="I3" s="11"/>
      <c r="J3" s="11"/>
      <c r="K3" s="11"/>
      <c r="L3" s="11"/>
      <c r="M3" s="2"/>
      <c r="N3" s="2"/>
      <c r="O3" s="2"/>
      <c r="P3" s="2"/>
    </row>
    <row r="4" spans="1:18" ht="18" customHeight="1">
      <c r="A4" s="10"/>
      <c r="B4" s="223" t="s">
        <v>778</v>
      </c>
      <c r="C4" s="224"/>
      <c r="D4" s="43" t="s">
        <v>9</v>
      </c>
      <c r="E4" s="44" t="s">
        <v>10</v>
      </c>
      <c r="F4" s="10"/>
      <c r="G4" s="11"/>
      <c r="H4" s="11"/>
      <c r="I4" s="11"/>
      <c r="J4" s="11"/>
      <c r="K4" s="11"/>
      <c r="L4" s="61" t="s">
        <v>11</v>
      </c>
      <c r="M4" s="62" t="e">
        <f>SUM(#REF!)</f>
        <v>#REF!</v>
      </c>
      <c r="N4" s="2"/>
      <c r="O4" s="2"/>
      <c r="P4" s="2"/>
    </row>
    <row r="5" spans="1:18" ht="18" customHeight="1">
      <c r="A5" s="10"/>
      <c r="B5" s="215" t="s">
        <v>779</v>
      </c>
      <c r="C5" s="216"/>
      <c r="D5" s="266" t="s">
        <v>12</v>
      </c>
      <c r="E5" s="267"/>
      <c r="F5" s="10"/>
      <c r="G5" s="11"/>
      <c r="H5" s="11"/>
      <c r="I5" s="11"/>
      <c r="J5" s="11"/>
      <c r="K5" s="11"/>
      <c r="L5" s="61" t="s">
        <v>13</v>
      </c>
      <c r="M5" s="63" t="e">
        <f>M4*18%</f>
        <v>#REF!</v>
      </c>
      <c r="N5" s="2"/>
      <c r="O5" s="2"/>
      <c r="P5" s="2" t="s">
        <v>14</v>
      </c>
    </row>
    <row r="6" spans="1:18" ht="12.75" customHeight="1">
      <c r="A6" s="10"/>
      <c r="B6" s="207" t="s">
        <v>780</v>
      </c>
      <c r="C6" s="208"/>
      <c r="D6" s="189" t="s">
        <v>16</v>
      </c>
      <c r="E6" s="188" t="s">
        <v>17</v>
      </c>
      <c r="F6" s="10"/>
      <c r="G6" s="11"/>
      <c r="H6" s="11"/>
      <c r="I6" s="11"/>
      <c r="J6" s="11"/>
      <c r="K6" s="11"/>
      <c r="L6" s="11"/>
      <c r="M6" s="2"/>
      <c r="N6" s="2"/>
      <c r="O6" s="2"/>
      <c r="P6" s="2"/>
    </row>
    <row r="7" spans="1:18" ht="20.25" customHeight="1">
      <c r="A7" s="10"/>
      <c r="B7" s="67" t="s">
        <v>18</v>
      </c>
      <c r="C7" s="35">
        <v>252673</v>
      </c>
      <c r="D7" s="213" t="s">
        <v>19</v>
      </c>
      <c r="E7" s="214"/>
      <c r="F7" s="10"/>
      <c r="G7" s="11"/>
      <c r="H7" s="11"/>
      <c r="I7" s="11"/>
      <c r="J7" s="11"/>
      <c r="K7" s="11"/>
      <c r="L7" s="64" t="s">
        <v>20</v>
      </c>
      <c r="M7" s="64" t="e">
        <f>SUM(#REF!)</f>
        <v>#REF!</v>
      </c>
      <c r="N7" s="209" t="s">
        <v>21</v>
      </c>
      <c r="O7" s="210"/>
      <c r="P7" s="116" t="e">
        <f>SUM(#REF!)</f>
        <v>#REF!</v>
      </c>
    </row>
    <row r="8" spans="1:18" ht="14.25" hidden="1" customHeight="1">
      <c r="A8" s="10"/>
      <c r="B8" s="22"/>
      <c r="C8" s="6"/>
      <c r="D8" s="6"/>
      <c r="E8" s="30"/>
      <c r="F8" s="10"/>
      <c r="G8" s="11"/>
      <c r="H8" s="11"/>
      <c r="I8" s="11"/>
      <c r="J8" s="11"/>
      <c r="K8" s="11"/>
      <c r="L8" s="11"/>
      <c r="M8" s="2"/>
      <c r="N8" s="2"/>
      <c r="O8" s="2"/>
      <c r="P8" s="2"/>
      <c r="R8">
        <v>495</v>
      </c>
    </row>
    <row r="9" spans="1:18" s="52" customFormat="1" ht="16.5" customHeight="1">
      <c r="A9" s="48"/>
      <c r="B9" s="57" t="s">
        <v>22</v>
      </c>
      <c r="C9" s="187" t="str">
        <f>IFERROR(VLOOKUP(B3,'gst1'!A2:B211,2,0),"")</f>
        <v/>
      </c>
      <c r="D9" s="49" t="s">
        <v>23</v>
      </c>
      <c r="E9" s="164">
        <f>E2+15</f>
        <v>45945</v>
      </c>
      <c r="F9" s="48"/>
      <c r="G9" s="50"/>
      <c r="H9" s="50"/>
      <c r="I9" s="50"/>
      <c r="J9" s="50"/>
      <c r="K9" s="50"/>
      <c r="L9" s="50"/>
      <c r="M9" s="51"/>
      <c r="N9" s="51"/>
      <c r="O9" s="51"/>
      <c r="P9" s="51"/>
    </row>
    <row r="10" spans="1:18" s="52" customFormat="1" ht="15" customHeight="1">
      <c r="A10" s="48"/>
      <c r="B10" s="156"/>
      <c r="C10" s="56" t="s">
        <v>24</v>
      </c>
      <c r="D10" s="49" t="s">
        <v>25</v>
      </c>
      <c r="E10" s="53" t="s">
        <v>31</v>
      </c>
      <c r="H10" s="50"/>
      <c r="I10" s="50"/>
      <c r="J10" s="50"/>
      <c r="K10" s="50">
        <f>K13/2</f>
        <v>228.81355932203391</v>
      </c>
      <c r="L10" s="50"/>
      <c r="M10" s="51"/>
      <c r="N10" s="51"/>
      <c r="O10" s="51"/>
      <c r="P10" s="51"/>
    </row>
    <row r="11" spans="1:18" ht="15.75" hidden="1" customHeight="1">
      <c r="A11" s="11"/>
      <c r="B11" s="22"/>
      <c r="C11" s="6"/>
      <c r="D11" s="6"/>
      <c r="E11" s="30"/>
      <c r="F11" s="10"/>
      <c r="G11" s="11"/>
      <c r="H11" s="11"/>
      <c r="I11" s="11"/>
      <c r="J11" s="11"/>
      <c r="K11" s="11"/>
      <c r="L11" s="11"/>
      <c r="M11" s="2"/>
      <c r="N11" s="2"/>
      <c r="O11" s="2"/>
      <c r="P11" s="2"/>
    </row>
    <row r="12" spans="1:18">
      <c r="A12" s="11"/>
      <c r="B12" s="36" t="s">
        <v>27</v>
      </c>
      <c r="C12" s="37" t="s">
        <v>28</v>
      </c>
      <c r="D12" s="37" t="s">
        <v>29</v>
      </c>
      <c r="E12" s="38" t="s">
        <v>30</v>
      </c>
      <c r="G12" s="48" t="s">
        <v>31</v>
      </c>
      <c r="H12" s="11"/>
      <c r="I12" s="11"/>
      <c r="J12" s="11"/>
      <c r="K12" s="11"/>
      <c r="L12" s="11"/>
      <c r="M12" s="2"/>
      <c r="N12" s="2"/>
      <c r="O12" s="2"/>
      <c r="P12" s="2"/>
    </row>
    <row r="13" spans="1:18" ht="18" customHeight="1">
      <c r="A13" s="11"/>
      <c r="B13" s="190">
        <v>1</v>
      </c>
      <c r="C13" s="177" t="s">
        <v>781</v>
      </c>
      <c r="D13" s="183">
        <v>4860</v>
      </c>
      <c r="E13" s="180">
        <f t="shared" ref="E13:E25" si="0">D13*B13</f>
        <v>4860</v>
      </c>
      <c r="F13" s="171" t="e">
        <v>#N/A</v>
      </c>
      <c r="G13" s="155"/>
      <c r="H13" s="155">
        <f>G13/B13</f>
        <v>0</v>
      </c>
      <c r="I13" s="155">
        <v>18</v>
      </c>
      <c r="J13" s="155">
        <v>540</v>
      </c>
      <c r="K13" s="155">
        <f>J13*100/118</f>
        <v>457.62711864406782</v>
      </c>
      <c r="L13" s="11" t="str">
        <f>IF($E10="Retail", "Retail Sale", "FAD LO")</f>
        <v>Retail Sale</v>
      </c>
      <c r="M13" s="54"/>
      <c r="N13" s="2"/>
      <c r="O13" s="121"/>
      <c r="P13" s="2"/>
    </row>
    <row r="14" spans="1:18" ht="18" customHeight="1">
      <c r="A14" s="11"/>
      <c r="B14" s="190">
        <v>1</v>
      </c>
      <c r="C14" s="177" t="s">
        <v>782</v>
      </c>
      <c r="D14" s="183">
        <v>4735</v>
      </c>
      <c r="E14" s="180">
        <f t="shared" si="0"/>
        <v>4735</v>
      </c>
      <c r="F14" s="171" t="e">
        <v>#N/A</v>
      </c>
      <c r="G14" s="155"/>
      <c r="H14" s="155">
        <v>540</v>
      </c>
      <c r="I14" s="155">
        <v>28</v>
      </c>
      <c r="J14" s="155">
        <v>540</v>
      </c>
      <c r="K14" s="155">
        <f>J14*100/118</f>
        <v>457.62711864406782</v>
      </c>
      <c r="L14" s="11"/>
      <c r="M14" s="55"/>
      <c r="N14" s="2"/>
      <c r="O14" s="2"/>
      <c r="P14" s="2"/>
    </row>
    <row r="15" spans="1:18" ht="18" customHeight="1">
      <c r="A15" s="11"/>
      <c r="B15" s="190">
        <v>2</v>
      </c>
      <c r="C15" s="177" t="s">
        <v>783</v>
      </c>
      <c r="D15" s="183">
        <v>1877</v>
      </c>
      <c r="E15" s="180">
        <f t="shared" si="0"/>
        <v>3754</v>
      </c>
      <c r="F15" s="171" t="e">
        <v>#N/A</v>
      </c>
      <c r="G15" s="155"/>
      <c r="H15" s="155">
        <v>28</v>
      </c>
      <c r="I15" s="60">
        <f>H14*H15/100</f>
        <v>151.19999999999999</v>
      </c>
      <c r="J15" s="118">
        <f>I15+H14</f>
        <v>691.2</v>
      </c>
      <c r="K15" s="11"/>
      <c r="L15" s="11"/>
      <c r="M15" s="2" t="s">
        <v>35</v>
      </c>
      <c r="N15" s="2"/>
      <c r="O15" s="2"/>
      <c r="P15" s="2"/>
    </row>
    <row r="16" spans="1:18">
      <c r="A16" s="11"/>
      <c r="B16" s="190">
        <v>1</v>
      </c>
      <c r="C16" s="177" t="s">
        <v>784</v>
      </c>
      <c r="D16" s="183">
        <v>1767</v>
      </c>
      <c r="E16" s="180">
        <f t="shared" si="0"/>
        <v>1767</v>
      </c>
      <c r="F16" s="171" t="e">
        <v>#N/A</v>
      </c>
      <c r="G16" s="155"/>
      <c r="H16" s="155">
        <f t="shared" ref="H16:H26" si="1">G16/B16</f>
        <v>0</v>
      </c>
      <c r="I16" s="11"/>
      <c r="J16" s="121" t="s">
        <v>36</v>
      </c>
      <c r="K16" s="11"/>
      <c r="L16" s="11"/>
      <c r="M16" s="2"/>
      <c r="N16" s="2"/>
      <c r="O16" s="2"/>
      <c r="P16" s="2"/>
    </row>
    <row r="17" spans="1:18" ht="18" customHeight="1">
      <c r="A17" s="11"/>
      <c r="B17" s="190">
        <v>3</v>
      </c>
      <c r="C17" s="177" t="s">
        <v>785</v>
      </c>
      <c r="D17" s="183">
        <v>1569</v>
      </c>
      <c r="E17" s="180">
        <f t="shared" si="0"/>
        <v>4707</v>
      </c>
      <c r="F17" s="171" t="e">
        <v>#N/A</v>
      </c>
      <c r="G17" s="155"/>
      <c r="H17" s="155">
        <f t="shared" si="1"/>
        <v>0</v>
      </c>
      <c r="I17" s="11">
        <v>3200</v>
      </c>
      <c r="J17" s="11"/>
      <c r="K17" s="11"/>
      <c r="L17" s="11"/>
      <c r="M17" s="2"/>
      <c r="N17" s="151"/>
      <c r="O17" s="152"/>
      <c r="P17" s="152"/>
      <c r="Q17" s="151"/>
      <c r="R17" s="47"/>
    </row>
    <row r="18" spans="1:18" ht="18" customHeight="1">
      <c r="A18" s="11"/>
      <c r="B18" s="190">
        <v>2</v>
      </c>
      <c r="C18" s="177" t="s">
        <v>786</v>
      </c>
      <c r="D18" s="183">
        <v>835</v>
      </c>
      <c r="E18" s="180">
        <f t="shared" si="0"/>
        <v>1670</v>
      </c>
      <c r="F18" s="171" t="e">
        <v>#N/A</v>
      </c>
      <c r="G18" s="155"/>
      <c r="H18" s="155">
        <f t="shared" si="1"/>
        <v>0</v>
      </c>
      <c r="I18" s="11">
        <f>I17*100/118</f>
        <v>2711.8644067796608</v>
      </c>
      <c r="J18" s="221" t="s">
        <v>37</v>
      </c>
      <c r="K18" s="222"/>
      <c r="L18" s="222"/>
      <c r="M18" s="222"/>
      <c r="N18" s="222"/>
      <c r="O18" s="152"/>
      <c r="P18" s="152"/>
      <c r="Q18" s="151"/>
      <c r="R18" s="47"/>
    </row>
    <row r="19" spans="1:18">
      <c r="A19" s="11">
        <v>10</v>
      </c>
      <c r="B19" s="190">
        <v>1</v>
      </c>
      <c r="C19" s="121" t="s">
        <v>787</v>
      </c>
      <c r="D19" s="171">
        <v>1630</v>
      </c>
      <c r="E19" s="180">
        <f t="shared" si="0"/>
        <v>1630</v>
      </c>
      <c r="F19" s="171" t="e">
        <v>#N/A</v>
      </c>
      <c r="G19" s="155"/>
      <c r="H19" s="155">
        <f t="shared" si="1"/>
        <v>0</v>
      </c>
      <c r="I19" s="11"/>
      <c r="J19" s="11"/>
      <c r="K19" s="11"/>
      <c r="L19" s="11"/>
      <c r="M19" s="2"/>
      <c r="N19" s="151"/>
      <c r="O19" s="152"/>
      <c r="P19" s="152"/>
      <c r="Q19" s="151"/>
      <c r="R19" s="47"/>
    </row>
    <row r="20" spans="1:18" ht="18" customHeight="1">
      <c r="A20" s="11"/>
      <c r="B20" s="190">
        <v>6</v>
      </c>
      <c r="C20" s="121" t="s">
        <v>788</v>
      </c>
      <c r="D20" s="171">
        <v>48</v>
      </c>
      <c r="E20" s="180">
        <f t="shared" si="0"/>
        <v>288</v>
      </c>
      <c r="F20" s="171" t="e">
        <v>#N/A</v>
      </c>
      <c r="G20" s="155"/>
      <c r="H20" s="155">
        <f t="shared" si="1"/>
        <v>0</v>
      </c>
      <c r="I20" s="11"/>
      <c r="J20" s="11"/>
      <c r="K20" s="11"/>
      <c r="L20" s="11"/>
      <c r="M20" s="2"/>
      <c r="N20" s="151"/>
      <c r="O20" s="152"/>
      <c r="P20" s="152"/>
      <c r="Q20" s="151"/>
      <c r="R20" s="47"/>
    </row>
    <row r="21" spans="1:18" ht="18" customHeight="1">
      <c r="A21" s="11"/>
      <c r="B21" s="190">
        <v>18</v>
      </c>
      <c r="C21" s="121" t="s">
        <v>789</v>
      </c>
      <c r="D21" s="171">
        <v>32</v>
      </c>
      <c r="E21" s="180">
        <f t="shared" si="0"/>
        <v>576</v>
      </c>
      <c r="F21" s="171" t="e">
        <v>#N/A</v>
      </c>
      <c r="G21" s="155">
        <f>E21*18/100</f>
        <v>103.68</v>
      </c>
      <c r="H21" s="155">
        <f t="shared" si="1"/>
        <v>5.7600000000000007</v>
      </c>
      <c r="I21" s="11"/>
      <c r="J21" s="11"/>
      <c r="K21" s="11"/>
      <c r="L21" s="11"/>
      <c r="M21" s="2">
        <f>(1600/90)</f>
        <v>17.777777777777779</v>
      </c>
      <c r="N21" s="151">
        <f>M21</f>
        <v>17.777777777777779</v>
      </c>
      <c r="O21" s="152">
        <f>N21*10/100</f>
        <v>1.7777777777777777</v>
      </c>
      <c r="P21" s="152"/>
      <c r="Q21" s="151"/>
    </row>
    <row r="22" spans="1:18" ht="18" customHeight="1">
      <c r="A22" s="11"/>
      <c r="B22" s="190">
        <v>97</v>
      </c>
      <c r="C22" s="177" t="s">
        <v>790</v>
      </c>
      <c r="D22" s="171">
        <v>19.100000000000001</v>
      </c>
      <c r="E22" s="180">
        <f t="shared" si="0"/>
        <v>1852.7</v>
      </c>
      <c r="F22" s="10" t="e">
        <v>#N/A</v>
      </c>
      <c r="G22" s="155"/>
      <c r="H22" s="155">
        <f t="shared" si="1"/>
        <v>0</v>
      </c>
      <c r="I22" s="11"/>
      <c r="J22" s="11" t="s">
        <v>38</v>
      </c>
      <c r="K22" s="11"/>
      <c r="L22" s="11"/>
      <c r="M22" s="2"/>
      <c r="N22" s="151"/>
      <c r="O22" s="152">
        <f>N21+O21</f>
        <v>19.555555555555557</v>
      </c>
      <c r="P22" s="152"/>
      <c r="Q22" s="151"/>
    </row>
    <row r="23" spans="1:18" ht="18" customHeight="1">
      <c r="A23" s="11"/>
      <c r="B23" s="190">
        <v>1</v>
      </c>
      <c r="C23" s="121" t="s">
        <v>791</v>
      </c>
      <c r="D23" s="171">
        <v>360</v>
      </c>
      <c r="E23" s="180">
        <f t="shared" si="0"/>
        <v>360</v>
      </c>
      <c r="F23" s="10" t="e">
        <v>#N/A</v>
      </c>
      <c r="G23" s="155"/>
      <c r="H23" s="155">
        <f>G23/B23</f>
        <v>0</v>
      </c>
      <c r="I23" s="11"/>
      <c r="J23" s="11" t="s">
        <v>39</v>
      </c>
      <c r="K23" s="11"/>
      <c r="L23" s="11"/>
      <c r="M23" s="2"/>
      <c r="N23" s="151"/>
      <c r="O23" s="152"/>
      <c r="P23" s="152"/>
      <c r="Q23" s="151"/>
    </row>
    <row r="24" spans="1:18" ht="18" customHeight="1">
      <c r="A24" s="11"/>
      <c r="B24" s="190">
        <v>10</v>
      </c>
      <c r="C24" s="121" t="s">
        <v>792</v>
      </c>
      <c r="D24" s="171">
        <v>354</v>
      </c>
      <c r="E24" s="180">
        <f t="shared" si="0"/>
        <v>3540</v>
      </c>
      <c r="F24" s="10" t="e">
        <v>#N/A</v>
      </c>
      <c r="G24" s="155"/>
      <c r="H24" s="155">
        <f t="shared" si="1"/>
        <v>0</v>
      </c>
      <c r="I24" s="11"/>
      <c r="J24" s="11" t="s">
        <v>40</v>
      </c>
      <c r="K24" s="11"/>
      <c r="L24" s="11"/>
      <c r="M24" s="2"/>
      <c r="N24" s="151"/>
      <c r="O24" s="153"/>
      <c r="P24" s="154"/>
      <c r="Q24" s="151"/>
    </row>
    <row r="25" spans="1:18" ht="18" customHeight="1">
      <c r="A25" s="11"/>
      <c r="B25" s="190">
        <v>1</v>
      </c>
      <c r="C25" s="121" t="s">
        <v>793</v>
      </c>
      <c r="D25" s="171">
        <v>360</v>
      </c>
      <c r="E25" s="180">
        <f t="shared" si="0"/>
        <v>360</v>
      </c>
      <c r="F25" s="10" t="e">
        <v>#N/A</v>
      </c>
      <c r="G25" s="155"/>
      <c r="H25" s="11">
        <f t="shared" si="1"/>
        <v>0</v>
      </c>
      <c r="I25" s="11"/>
      <c r="J25" s="11" t="s">
        <v>41</v>
      </c>
      <c r="K25" s="11"/>
      <c r="L25" s="11"/>
      <c r="M25" s="2"/>
      <c r="N25" s="151"/>
      <c r="O25" s="153"/>
      <c r="P25" s="154"/>
      <c r="Q25" s="151"/>
    </row>
    <row r="26" spans="1:18" ht="18" customHeight="1">
      <c r="A26" s="11"/>
      <c r="B26" s="173"/>
      <c r="C26" s="121"/>
      <c r="D26" s="171"/>
      <c r="E26" s="180"/>
      <c r="F26" s="10" t="e">
        <v>#N/A</v>
      </c>
      <c r="G26" s="155"/>
      <c r="H26" s="11" t="e">
        <f t="shared" si="1"/>
        <v>#DIV/0!</v>
      </c>
      <c r="I26" s="11"/>
      <c r="J26" s="11"/>
      <c r="K26" s="11"/>
      <c r="L26" s="11"/>
      <c r="M26" s="2"/>
      <c r="N26" s="151">
        <f>2540-2478</f>
        <v>62</v>
      </c>
      <c r="O26" s="153"/>
      <c r="P26" s="154"/>
      <c r="Q26" s="151"/>
    </row>
    <row r="27" spans="1:18" ht="18.75" customHeight="1">
      <c r="A27" s="11"/>
      <c r="B27" s="190"/>
      <c r="C27" s="174"/>
      <c r="D27" s="171"/>
      <c r="E27" s="180"/>
      <c r="F27" s="10" t="e">
        <v>#N/A</v>
      </c>
      <c r="G27" s="155"/>
      <c r="H27" s="11">
        <v>300</v>
      </c>
      <c r="I27" s="11">
        <v>18</v>
      </c>
      <c r="J27" s="11">
        <v>3771.19</v>
      </c>
      <c r="K27" s="11">
        <f>J27*I27/100</f>
        <v>678.81420000000003</v>
      </c>
      <c r="L27" s="11">
        <f>K27+J27</f>
        <v>4450.0042000000003</v>
      </c>
      <c r="M27" s="2"/>
      <c r="N27" s="151"/>
      <c r="O27" s="2"/>
      <c r="P27" s="2"/>
    </row>
    <row r="28" spans="1:18" ht="13.5" customHeight="1">
      <c r="A28" s="11"/>
      <c r="B28" s="190"/>
      <c r="C28" s="121"/>
      <c r="D28" s="171"/>
      <c r="E28" s="180"/>
      <c r="F28" s="10"/>
      <c r="G28" s="155"/>
      <c r="H28" s="11">
        <f t="shared" ref="H28:H29" si="2">D28*118/100</f>
        <v>0</v>
      </c>
      <c r="I28" s="11">
        <f>H27*100/(100+I27)</f>
        <v>254.23728813559322</v>
      </c>
      <c r="J28" s="11"/>
      <c r="K28" s="11"/>
      <c r="L28" s="11"/>
      <c r="M28" s="2"/>
      <c r="N28" s="151"/>
      <c r="O28" s="2"/>
      <c r="P28" s="2"/>
    </row>
    <row r="29" spans="1:18" ht="14.25" customHeight="1">
      <c r="A29" s="11"/>
      <c r="B29" s="190"/>
      <c r="C29" s="121"/>
      <c r="D29" s="171"/>
      <c r="E29" s="180">
        <f t="shared" ref="E29" si="3">D29*B29</f>
        <v>0</v>
      </c>
      <c r="F29" s="10"/>
      <c r="G29" s="8" t="s">
        <v>42</v>
      </c>
      <c r="H29" s="11">
        <f t="shared" si="2"/>
        <v>0</v>
      </c>
      <c r="I29" s="11"/>
      <c r="J29" s="11"/>
      <c r="K29" s="11"/>
      <c r="L29" s="11"/>
      <c r="M29" s="2"/>
      <c r="N29" s="151"/>
      <c r="O29" s="2"/>
      <c r="P29" s="2"/>
    </row>
    <row r="30" spans="1:18" ht="18" customHeight="1">
      <c r="A30" s="11"/>
      <c r="B30" s="21"/>
      <c r="C30" s="45"/>
      <c r="D30" s="135" t="s">
        <v>43</v>
      </c>
      <c r="E30" s="195">
        <f>SUM(E13:E29)</f>
        <v>30099.7</v>
      </c>
      <c r="F30" s="10"/>
      <c r="G30" s="11">
        <f>SUM(G13:G29)</f>
        <v>103.68</v>
      </c>
      <c r="H30" s="11">
        <f>G30*18/100</f>
        <v>18.662400000000002</v>
      </c>
      <c r="I30" s="11">
        <f>H30+G30</f>
        <v>122.34240000000001</v>
      </c>
      <c r="J30" s="11"/>
      <c r="K30" s="11">
        <v>1161.02</v>
      </c>
      <c r="L30" s="11"/>
      <c r="M30" s="2"/>
      <c r="N30" s="2"/>
      <c r="O30" s="2"/>
      <c r="P30" s="2"/>
    </row>
    <row r="31" spans="1:18" ht="16.5" customHeight="1">
      <c r="A31" s="11"/>
      <c r="B31" s="22"/>
      <c r="C31" s="160" t="str">
        <f>IF(E10="IS_S","Integrated Tax(IGST)","")</f>
        <v/>
      </c>
      <c r="D31" s="161" t="str">
        <f>IF(C31="Integrated Tax(IGST)","18%","")</f>
        <v/>
      </c>
      <c r="E31" s="195" t="str">
        <f>IFERROR(ROUND((E30*D31)*1,0)/1,"")</f>
        <v/>
      </c>
      <c r="F31" s="10"/>
      <c r="G31" s="11"/>
      <c r="H31" s="11"/>
      <c r="I31" s="11"/>
      <c r="J31" s="11"/>
      <c r="K31" s="11">
        <f>K30*18/100</f>
        <v>208.9836</v>
      </c>
      <c r="L31" s="11">
        <f>K31+K30</f>
        <v>1370.0036</v>
      </c>
      <c r="M31" s="2"/>
      <c r="N31" s="2"/>
      <c r="O31" s="2"/>
      <c r="P31" s="2"/>
      <c r="Q31">
        <v>2227</v>
      </c>
    </row>
    <row r="32" spans="1:18" ht="18" customHeight="1">
      <c r="A32" s="11"/>
      <c r="B32" s="22"/>
      <c r="C32" s="45" t="str">
        <f>IF($E$10="State","Central Tax(CGST)", IF($E$10="Higher", "Central(GST)",""))</f>
        <v/>
      </c>
      <c r="D32" s="46" t="str">
        <f>IF($C$32="Central Tax(CGST)","9%", IF($C$32="Central(GST)", "14%",""))</f>
        <v/>
      </c>
      <c r="E32" s="195" t="str">
        <f>IFERROR(ROUND((E30*D32)*1,2)/1,"")</f>
        <v/>
      </c>
      <c r="F32" s="10"/>
      <c r="G32" s="11"/>
      <c r="H32" s="11"/>
      <c r="I32" s="11"/>
      <c r="J32" s="11"/>
      <c r="K32" s="11"/>
      <c r="L32" s="11"/>
      <c r="M32" s="2"/>
      <c r="N32" s="2"/>
      <c r="O32" s="2"/>
      <c r="P32" s="2"/>
      <c r="Q32">
        <v>2150</v>
      </c>
    </row>
    <row r="33" spans="1:16" ht="18" customHeight="1">
      <c r="A33" s="11"/>
      <c r="B33" s="22"/>
      <c r="C33" s="45" t="str">
        <f>IF($E10="State","State Tax(SGST)", IF($E10="Higher", "State(GST)",""))</f>
        <v/>
      </c>
      <c r="D33" s="46" t="str">
        <f>IF($C$33="State Tax(SGST)","9%", IF($C$33="State(GST)", "14%",""))</f>
        <v/>
      </c>
      <c r="E33" s="195" t="str">
        <f>IFERROR(ROUND((E30*D33)*1,2)/1,"")</f>
        <v/>
      </c>
      <c r="F33" s="10"/>
      <c r="G33" s="11"/>
      <c r="H33" s="11"/>
      <c r="I33" s="11"/>
      <c r="J33" s="11"/>
      <c r="K33" s="11"/>
      <c r="L33" s="11"/>
      <c r="M33" s="2"/>
      <c r="N33" s="2"/>
      <c r="O33" s="2"/>
      <c r="P33" s="2"/>
    </row>
    <row r="34" spans="1:16" ht="18" customHeight="1" thickBot="1">
      <c r="A34" s="11"/>
      <c r="B34" s="22"/>
      <c r="C34" s="219" t="s">
        <v>44</v>
      </c>
      <c r="D34" s="220"/>
      <c r="E34" s="196"/>
      <c r="F34" s="10"/>
      <c r="G34" s="11"/>
      <c r="H34" s="11" t="s">
        <v>45</v>
      </c>
      <c r="I34" s="11"/>
      <c r="J34" s="11">
        <f>4601/300</f>
        <v>15.336666666666666</v>
      </c>
      <c r="K34" s="11"/>
      <c r="M34" s="2"/>
      <c r="N34" s="2"/>
      <c r="O34" s="2"/>
      <c r="P34" s="2"/>
    </row>
    <row r="35" spans="1:16" ht="18" customHeight="1" thickBot="1">
      <c r="A35" s="11"/>
      <c r="B35" s="58"/>
      <c r="C35" s="225" t="s">
        <v>46</v>
      </c>
      <c r="D35" s="226"/>
      <c r="E35" s="59"/>
      <c r="F35" s="10"/>
      <c r="G35" s="11"/>
      <c r="H35" s="11"/>
      <c r="I35" s="11"/>
      <c r="J35" s="11"/>
      <c r="K35" s="11"/>
      <c r="L35" s="11"/>
      <c r="M35" s="2"/>
      <c r="N35" s="2"/>
      <c r="O35" s="2"/>
      <c r="P35" s="2"/>
    </row>
    <row r="36" spans="1:16" ht="18" customHeight="1" thickBot="1">
      <c r="A36" s="11"/>
      <c r="B36" s="175"/>
      <c r="C36" s="225" t="s">
        <v>47</v>
      </c>
      <c r="D36" s="226"/>
      <c r="E36" s="59">
        <f>ROUND(SUM(E30:E33)*1,0)/1-E35</f>
        <v>30100</v>
      </c>
      <c r="F36" s="10"/>
      <c r="G36" s="11"/>
      <c r="H36" s="11"/>
      <c r="I36" s="11"/>
      <c r="J36" s="11"/>
      <c r="K36" s="11"/>
      <c r="L36" s="11"/>
      <c r="M36" s="2"/>
      <c r="N36" s="2">
        <f>38551-881</f>
        <v>37670</v>
      </c>
      <c r="O36" s="2"/>
      <c r="P36" s="2"/>
    </row>
    <row r="37" spans="1:16" ht="17.25" customHeight="1" thickBot="1">
      <c r="A37" s="11"/>
      <c r="B37" s="236" t="e">
        <f ca="1">[5]!rswords(E36)</f>
        <v>#NAME?</v>
      </c>
      <c r="C37" s="237"/>
      <c r="D37" s="237"/>
      <c r="E37" s="238"/>
      <c r="F37" s="10"/>
      <c r="G37" s="11"/>
      <c r="H37" s="11" t="s">
        <v>48</v>
      </c>
      <c r="I37" s="11"/>
      <c r="J37" s="11"/>
      <c r="K37" s="11"/>
      <c r="L37" s="11"/>
      <c r="M37" s="2"/>
      <c r="N37" s="2"/>
      <c r="O37" s="2"/>
      <c r="P37" s="2"/>
    </row>
    <row r="38" spans="1:16" ht="16.5" customHeight="1">
      <c r="A38" s="11"/>
      <c r="B38" s="26"/>
      <c r="C38" s="3"/>
      <c r="D38" s="4"/>
      <c r="E38" s="17"/>
      <c r="F38" s="10"/>
      <c r="G38" s="11"/>
      <c r="H38" s="11"/>
      <c r="I38" s="11"/>
      <c r="J38" s="11"/>
      <c r="K38" s="11"/>
      <c r="L38" s="11"/>
      <c r="M38" s="2"/>
      <c r="N38" s="2"/>
      <c r="O38" s="2"/>
      <c r="P38" s="2"/>
    </row>
    <row r="39" spans="1:16" ht="18.95" customHeight="1">
      <c r="A39" s="11"/>
      <c r="B39" s="40" t="s">
        <v>50</v>
      </c>
      <c r="C39" s="39" t="s">
        <v>51</v>
      </c>
      <c r="D39" s="28"/>
      <c r="E39" s="29"/>
      <c r="F39" s="10"/>
      <c r="G39" s="11"/>
      <c r="H39" s="11"/>
      <c r="I39" s="11"/>
      <c r="J39" s="11"/>
      <c r="K39" s="11"/>
      <c r="L39" s="11"/>
      <c r="M39" s="2"/>
      <c r="N39" s="2"/>
      <c r="O39" s="2"/>
      <c r="P39" s="2"/>
    </row>
    <row r="40" spans="1:16" ht="18.95" customHeight="1">
      <c r="A40" s="11"/>
      <c r="B40" s="41" t="s">
        <v>52</v>
      </c>
      <c r="C40" s="42" t="s">
        <v>1</v>
      </c>
      <c r="D40" s="6"/>
      <c r="E40" s="30"/>
      <c r="F40" s="10"/>
      <c r="G40" s="11"/>
      <c r="H40" s="11"/>
      <c r="I40" s="11"/>
      <c r="J40" s="11"/>
      <c r="K40" s="11"/>
      <c r="L40" s="11"/>
      <c r="M40" s="2"/>
      <c r="N40" s="2"/>
      <c r="O40" s="2"/>
      <c r="P40" s="2"/>
    </row>
    <row r="41" spans="1:16" ht="18.95" customHeight="1">
      <c r="A41" s="11"/>
      <c r="B41" s="139" t="s">
        <v>53</v>
      </c>
      <c r="C41" s="158" t="s">
        <v>54</v>
      </c>
      <c r="D41" s="6"/>
      <c r="E41" s="30"/>
      <c r="F41" s="10"/>
      <c r="G41" s="11"/>
      <c r="H41" s="11"/>
      <c r="I41" s="11"/>
      <c r="J41" s="11"/>
      <c r="K41" s="11"/>
      <c r="L41" s="11"/>
      <c r="M41" s="2"/>
      <c r="N41" s="2"/>
      <c r="O41" s="2"/>
      <c r="P41" s="2"/>
    </row>
    <row r="42" spans="1:16" ht="18.95" customHeight="1">
      <c r="A42" s="11"/>
      <c r="B42" s="41" t="s">
        <v>55</v>
      </c>
      <c r="C42" s="159" t="s">
        <v>56</v>
      </c>
      <c r="D42" s="6"/>
      <c r="E42" s="30"/>
      <c r="F42" s="10"/>
      <c r="G42" s="8"/>
      <c r="H42" s="11"/>
      <c r="I42" s="11"/>
      <c r="J42" s="11"/>
      <c r="K42" s="11">
        <v>3371</v>
      </c>
      <c r="L42" s="11"/>
      <c r="M42" s="2"/>
      <c r="N42" s="2"/>
      <c r="O42" s="2"/>
      <c r="P42" s="2"/>
    </row>
    <row r="43" spans="1:16" ht="15.95" customHeight="1">
      <c r="A43" s="11"/>
      <c r="B43" s="24" t="s">
        <v>794</v>
      </c>
      <c r="C43" s="172" t="s">
        <v>41</v>
      </c>
      <c r="D43" s="21"/>
      <c r="E43" s="27"/>
      <c r="F43" s="10"/>
      <c r="G43" s="11"/>
      <c r="H43" s="11"/>
      <c r="I43" s="11"/>
      <c r="J43" s="11"/>
      <c r="K43" s="11">
        <v>2944</v>
      </c>
      <c r="L43" s="11"/>
      <c r="M43" s="2"/>
      <c r="N43" s="2"/>
      <c r="O43" s="2"/>
      <c r="P43" s="2"/>
    </row>
    <row r="44" spans="1:16" ht="15.95" customHeight="1">
      <c r="A44" s="11"/>
      <c r="B44" s="23" t="s">
        <v>58</v>
      </c>
      <c r="C44" s="25"/>
      <c r="D44" s="16"/>
      <c r="E44" s="25" t="s">
        <v>59</v>
      </c>
      <c r="F44" s="10"/>
      <c r="G44" s="11"/>
      <c r="H44" s="11"/>
      <c r="I44" s="11"/>
      <c r="J44" s="11"/>
      <c r="K44" s="11">
        <v>3268</v>
      </c>
      <c r="L44" s="11"/>
      <c r="M44" s="2"/>
      <c r="N44" s="2"/>
      <c r="O44" s="2"/>
      <c r="P44" s="2"/>
    </row>
    <row r="45" spans="1:16" ht="15.95" customHeight="1">
      <c r="A45" s="11"/>
      <c r="B45" s="23" t="s">
        <v>60</v>
      </c>
      <c r="C45" s="25"/>
      <c r="D45" s="22"/>
      <c r="E45" s="30"/>
      <c r="F45" s="10"/>
      <c r="G45" s="11"/>
      <c r="H45" s="11"/>
      <c r="I45" s="11"/>
      <c r="J45" s="11"/>
      <c r="K45" s="11"/>
      <c r="L45" s="11"/>
      <c r="M45" s="2"/>
      <c r="N45" s="2"/>
      <c r="O45" s="2"/>
      <c r="P45" s="2"/>
    </row>
    <row r="46" spans="1:16" ht="15.95" customHeight="1">
      <c r="A46" s="11"/>
      <c r="B46" s="23" t="s">
        <v>61</v>
      </c>
      <c r="C46" s="25"/>
      <c r="D46" s="31"/>
      <c r="E46" s="30"/>
      <c r="F46" s="10"/>
      <c r="G46" s="11"/>
      <c r="H46" s="11"/>
      <c r="I46" s="11"/>
      <c r="J46" s="11"/>
      <c r="K46" s="11"/>
      <c r="L46" s="11"/>
      <c r="M46" s="2"/>
      <c r="N46" s="2"/>
      <c r="O46" s="2"/>
      <c r="P46" s="2"/>
    </row>
    <row r="47" spans="1:16" ht="15.95" customHeight="1">
      <c r="A47" s="11"/>
      <c r="B47" s="32" t="s">
        <v>62</v>
      </c>
      <c r="C47" s="19"/>
      <c r="D47" s="18"/>
      <c r="E47" s="19" t="s">
        <v>63</v>
      </c>
      <c r="F47" s="10"/>
      <c r="G47" s="11"/>
      <c r="H47" s="11"/>
      <c r="I47" s="11"/>
      <c r="J47" s="11"/>
      <c r="K47" s="11"/>
      <c r="L47" s="11"/>
      <c r="M47" s="2"/>
      <c r="N47" s="2"/>
      <c r="O47" s="2"/>
      <c r="P47" s="2"/>
    </row>
    <row r="48" spans="1:16" hidden="1">
      <c r="A48" s="11"/>
      <c r="F48" s="10"/>
      <c r="G48" s="11"/>
      <c r="H48" s="11"/>
      <c r="I48" s="11"/>
      <c r="J48" s="11"/>
      <c r="K48" s="11"/>
      <c r="L48" s="11"/>
      <c r="M48" s="2"/>
      <c r="N48" s="2"/>
      <c r="O48" s="2"/>
      <c r="P48" s="2"/>
    </row>
    <row r="49" spans="1:16" ht="15" customHeight="1">
      <c r="A49" s="11"/>
      <c r="B49" s="233" t="s">
        <v>64</v>
      </c>
      <c r="C49" s="234"/>
      <c r="D49" s="234"/>
      <c r="E49" s="235"/>
      <c r="F49" s="10"/>
      <c r="G49" s="11"/>
      <c r="H49" s="11"/>
      <c r="I49" s="11"/>
      <c r="J49" s="11"/>
      <c r="K49" s="11"/>
      <c r="L49" s="11"/>
      <c r="M49" s="2"/>
      <c r="N49" s="2"/>
      <c r="O49" s="2"/>
      <c r="P49" s="2"/>
    </row>
    <row r="50" spans="1:16">
      <c r="A50" s="11"/>
      <c r="B50" s="230" t="s">
        <v>65</v>
      </c>
      <c r="C50" s="231"/>
      <c r="D50" s="231"/>
      <c r="E50" s="232"/>
      <c r="F50" s="10"/>
      <c r="G50" s="11"/>
      <c r="H50" s="11"/>
      <c r="I50" s="11"/>
      <c r="J50" s="11"/>
      <c r="K50" s="11"/>
      <c r="L50" s="11"/>
      <c r="M50" s="2"/>
      <c r="N50" s="2"/>
      <c r="O50" s="2"/>
      <c r="P50" s="2"/>
    </row>
    <row r="51" spans="1:16" ht="9.75" hidden="1" customHeight="1">
      <c r="A51" s="11"/>
      <c r="B51" s="20"/>
      <c r="C51" s="5"/>
      <c r="D51" s="5"/>
      <c r="E51" s="17"/>
      <c r="F51" s="10"/>
      <c r="G51" s="11"/>
      <c r="H51" s="11"/>
      <c r="I51" s="11"/>
      <c r="J51" s="11"/>
      <c r="K51" s="11"/>
      <c r="L51" s="11"/>
      <c r="M51" s="2"/>
      <c r="N51" s="2"/>
      <c r="O51" s="2"/>
      <c r="P51" s="2"/>
    </row>
    <row r="52" spans="1:16">
      <c r="A52" s="11"/>
      <c r="B52" s="227" t="s">
        <v>795</v>
      </c>
      <c r="C52" s="228"/>
      <c r="D52" s="228"/>
      <c r="E52" s="229"/>
      <c r="F52" s="10"/>
      <c r="G52" s="11"/>
      <c r="H52" s="11"/>
      <c r="I52" s="11"/>
      <c r="J52" s="11"/>
      <c r="K52" s="11"/>
      <c r="L52" s="11"/>
      <c r="M52" s="2"/>
      <c r="N52" s="2"/>
      <c r="O52" s="2"/>
      <c r="P52" s="2"/>
    </row>
    <row r="53" spans="1:16">
      <c r="A53" s="11"/>
      <c r="B53" s="10"/>
      <c r="C53" s="10"/>
      <c r="D53" s="10"/>
      <c r="E53" s="10"/>
      <c r="F53" s="10"/>
      <c r="G53" s="11"/>
      <c r="H53" s="11"/>
      <c r="I53" s="11"/>
      <c r="J53" s="11"/>
      <c r="K53" s="11"/>
      <c r="L53" s="11"/>
      <c r="M53" s="2"/>
      <c r="N53" s="2"/>
      <c r="O53" s="2"/>
      <c r="P53" s="2"/>
    </row>
    <row r="54" spans="1:16">
      <c r="A54" s="11"/>
      <c r="B54" s="10"/>
      <c r="C54" s="10"/>
      <c r="D54" s="10"/>
      <c r="E54" s="10"/>
      <c r="F54" s="10"/>
      <c r="G54" s="11"/>
      <c r="H54" s="11"/>
      <c r="I54" s="11"/>
      <c r="J54" s="11"/>
      <c r="K54" s="11"/>
      <c r="L54" s="11"/>
      <c r="M54" s="2"/>
      <c r="N54" s="2"/>
      <c r="O54" s="2"/>
      <c r="P54" s="2"/>
    </row>
    <row r="55" spans="1:16">
      <c r="A55" s="11"/>
      <c r="B55" s="10"/>
      <c r="C55" s="10"/>
      <c r="D55" s="10"/>
      <c r="E55" s="10"/>
      <c r="F55" s="10"/>
      <c r="G55" s="11"/>
      <c r="H55" s="11"/>
      <c r="I55" s="11"/>
      <c r="J55" s="11"/>
      <c r="K55" s="11"/>
      <c r="L55" s="11"/>
      <c r="M55" s="2"/>
      <c r="N55" s="2"/>
      <c r="O55" s="2"/>
      <c r="P55" s="2"/>
    </row>
    <row r="56" spans="1:16">
      <c r="A56" s="11"/>
      <c r="B56" s="10"/>
      <c r="C56" s="10"/>
      <c r="D56" s="10"/>
      <c r="E56" s="10"/>
      <c r="F56" s="10"/>
      <c r="G56" s="11"/>
      <c r="H56" s="11"/>
      <c r="I56" s="11"/>
      <c r="J56" s="11"/>
      <c r="K56" s="11"/>
      <c r="L56" s="11"/>
      <c r="M56" s="2"/>
      <c r="N56" s="2"/>
      <c r="O56" s="2"/>
      <c r="P56" s="2"/>
    </row>
    <row r="57" spans="1:16">
      <c r="A57" s="11"/>
      <c r="B57" s="10"/>
      <c r="C57" s="10"/>
      <c r="D57" s="10"/>
      <c r="E57" s="10"/>
      <c r="F57" s="10"/>
      <c r="G57" s="11"/>
      <c r="H57" s="11"/>
      <c r="I57" s="11"/>
      <c r="J57" s="11"/>
      <c r="K57" s="11"/>
      <c r="L57" s="11"/>
      <c r="M57" s="2"/>
      <c r="N57" s="2"/>
      <c r="O57" s="2"/>
      <c r="P57" s="2"/>
    </row>
    <row r="58" spans="1:16">
      <c r="A58" s="11"/>
      <c r="B58" s="11"/>
      <c r="C58" s="11"/>
      <c r="D58" s="11"/>
      <c r="E58" s="11"/>
      <c r="F58" s="11"/>
      <c r="G58" s="11"/>
      <c r="H58" s="11"/>
      <c r="I58" s="11"/>
      <c r="J58" s="11"/>
      <c r="K58" s="11"/>
      <c r="L58" s="11"/>
    </row>
    <row r="59" spans="1:16">
      <c r="A59" s="11"/>
      <c r="B59" s="11"/>
      <c r="C59" s="11"/>
      <c r="D59" s="11"/>
      <c r="E59" s="11"/>
      <c r="F59" s="11"/>
      <c r="G59" s="11"/>
      <c r="H59" s="11"/>
      <c r="I59" s="11"/>
      <c r="J59" s="11"/>
      <c r="K59" s="11"/>
      <c r="L59" s="11"/>
    </row>
    <row r="60" spans="1:16">
      <c r="A60" s="11"/>
      <c r="B60" s="11"/>
      <c r="C60" s="11"/>
      <c r="D60" s="11"/>
      <c r="E60" s="11"/>
      <c r="F60" s="11"/>
      <c r="G60" s="11"/>
      <c r="H60" s="11"/>
      <c r="I60" s="11"/>
      <c r="J60" s="11"/>
      <c r="K60" s="11"/>
      <c r="L60" s="11"/>
    </row>
    <row r="61" spans="1:16">
      <c r="A61" s="11"/>
      <c r="B61" s="11"/>
      <c r="C61" s="11"/>
      <c r="D61" s="11"/>
      <c r="E61" s="11"/>
      <c r="F61" s="11"/>
      <c r="G61" s="11"/>
      <c r="H61" s="11"/>
      <c r="I61" s="11"/>
      <c r="J61" s="11"/>
      <c r="K61" s="11"/>
      <c r="L61" s="11"/>
    </row>
    <row r="62" spans="1:16">
      <c r="A62" s="11"/>
      <c r="B62" s="11"/>
      <c r="C62" s="11"/>
      <c r="D62" s="11"/>
      <c r="E62" s="11"/>
      <c r="F62" s="11"/>
      <c r="G62" s="11"/>
      <c r="H62" s="11"/>
      <c r="I62" s="11"/>
      <c r="J62" s="11"/>
      <c r="K62" s="11"/>
      <c r="L62" s="11"/>
    </row>
    <row r="63" spans="1:16">
      <c r="A63" s="11"/>
      <c r="B63" s="11"/>
      <c r="C63" s="11"/>
      <c r="D63" s="11"/>
      <c r="E63" s="11"/>
      <c r="F63" s="11"/>
      <c r="G63" s="11"/>
      <c r="H63" s="11"/>
      <c r="I63" s="11"/>
      <c r="J63" s="11"/>
      <c r="K63" s="11"/>
      <c r="L63" s="11"/>
    </row>
  </sheetData>
  <mergeCells count="18">
    <mergeCell ref="C36:D36"/>
    <mergeCell ref="B37:E37"/>
    <mergeCell ref="B49:E49"/>
    <mergeCell ref="B50:E50"/>
    <mergeCell ref="B52:E52"/>
    <mergeCell ref="C35:D35"/>
    <mergeCell ref="D1:E1"/>
    <mergeCell ref="L1:M1"/>
    <mergeCell ref="Q1:R1"/>
    <mergeCell ref="D3:E3"/>
    <mergeCell ref="B4:C4"/>
    <mergeCell ref="B5:C5"/>
    <mergeCell ref="D5:E5"/>
    <mergeCell ref="B6:C6"/>
    <mergeCell ref="D7:E7"/>
    <mergeCell ref="N7:O7"/>
    <mergeCell ref="J18:N18"/>
    <mergeCell ref="C34:D34"/>
  </mergeCells>
  <dataValidations count="1">
    <dataValidation type="list" allowBlank="1" showInputMessage="1" showErrorMessage="1" sqref="E10">
      <formula1>"State,IS_S,Higher,CASH,RETAIL"</formula1>
    </dataValidation>
  </dataValidations>
  <hyperlinks>
    <hyperlink ref="G29" r:id="rId1"/>
    <hyperlink ref="D5" display="esyndicates@gmail.com"/>
  </hyperlinks>
  <pageMargins left="1.5374015750000001" right="0.196850393700787" top="0.59055118110236204" bottom="0.39370078740157499" header="0.43307086614173201" footer="0.31496062992126"/>
  <pageSetup paperSize="9" scale="86" orientation="portrait" r:id="rId2"/>
  <drawing r:id="rId3"/>
  <legacyDrawing r:id="rId4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3" r:id="rId5" name="Button 1">
              <controlPr defaultSize="0" print="0" autoFill="0" autoPict="0" macro="[0]!INV">
                <anchor moveWithCells="1" sizeWithCells="1">
                  <from>
                    <xdr:col>5</xdr:col>
                    <xdr:colOff>371475</xdr:colOff>
                    <xdr:row>2</xdr:row>
                    <xdr:rowOff>133350</xdr:rowOff>
                  </from>
                  <to>
                    <xdr:col>6</xdr:col>
                    <xdr:colOff>409575</xdr:colOff>
                    <xdr:row>5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4" r:id="rId6" name="Button 2">
              <controlPr defaultSize="0" print="0" autoFill="0" autoPict="0" macro="[0]!Formc">
                <anchor moveWithCells="1" sizeWithCells="1">
                  <from>
                    <xdr:col>6</xdr:col>
                    <xdr:colOff>581025</xdr:colOff>
                    <xdr:row>2</xdr:row>
                    <xdr:rowOff>133350</xdr:rowOff>
                  </from>
                  <to>
                    <xdr:col>7</xdr:col>
                    <xdr:colOff>600075</xdr:colOff>
                    <xdr:row>5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5" r:id="rId7" name="Button 3">
              <controlPr defaultSize="0" print="0" autoFill="0" autoPict="0" macro="[0]!Pnt">
                <anchor moveWithCells="1" sizeWithCells="1">
                  <from>
                    <xdr:col>8</xdr:col>
                    <xdr:colOff>133350</xdr:colOff>
                    <xdr:row>2</xdr:row>
                    <xdr:rowOff>142875</xdr:rowOff>
                  </from>
                  <to>
                    <xdr:col>9</xdr:col>
                    <xdr:colOff>76200</xdr:colOff>
                    <xdr:row>5</xdr:row>
                    <xdr:rowOff>57150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REGISTRY!$B$5:$B$127</xm:f>
          </x14:formula1>
          <xm:sqref>B3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B1:D51"/>
  <sheetViews>
    <sheetView workbookViewId="0">
      <selection activeCell="E15" sqref="E15"/>
    </sheetView>
  </sheetViews>
  <sheetFormatPr defaultRowHeight="15"/>
  <cols>
    <col min="1" max="16384" width="9.140625" style="191"/>
  </cols>
  <sheetData>
    <row r="1" spans="2:4">
      <c r="B1" s="191" t="s">
        <v>796</v>
      </c>
      <c r="C1" s="191" t="s">
        <v>797</v>
      </c>
    </row>
    <row r="2" spans="2:4">
      <c r="B2" s="191" t="s">
        <v>798</v>
      </c>
      <c r="C2" s="191">
        <v>8521</v>
      </c>
      <c r="D2" s="191">
        <v>8521</v>
      </c>
    </row>
    <row r="3" spans="2:4">
      <c r="B3" s="191" t="s">
        <v>799</v>
      </c>
      <c r="C3" s="191">
        <v>8521</v>
      </c>
      <c r="D3" s="191">
        <v>8521</v>
      </c>
    </row>
    <row r="4" spans="2:4">
      <c r="B4" s="191" t="s">
        <v>800</v>
      </c>
      <c r="C4" s="191">
        <v>8525</v>
      </c>
      <c r="D4" s="191">
        <v>8525</v>
      </c>
    </row>
    <row r="5" spans="2:4">
      <c r="B5" s="191" t="s">
        <v>801</v>
      </c>
      <c r="C5" s="191">
        <v>8525</v>
      </c>
      <c r="D5" s="191">
        <v>8525</v>
      </c>
    </row>
    <row r="6" spans="2:4">
      <c r="B6" s="191" t="s">
        <v>802</v>
      </c>
      <c r="C6" s="191">
        <v>8525</v>
      </c>
      <c r="D6" s="191">
        <v>8525</v>
      </c>
    </row>
    <row r="7" spans="2:4">
      <c r="B7" s="191" t="s">
        <v>803</v>
      </c>
      <c r="C7" s="191">
        <v>8525</v>
      </c>
      <c r="D7" s="191">
        <v>8525</v>
      </c>
    </row>
    <row r="8" spans="2:4">
      <c r="B8" s="191" t="s">
        <v>804</v>
      </c>
      <c r="C8" s="191">
        <v>8471</v>
      </c>
      <c r="D8" s="191">
        <v>84717020</v>
      </c>
    </row>
    <row r="9" spans="2:4">
      <c r="B9" s="191" t="s">
        <v>805</v>
      </c>
      <c r="C9" s="191">
        <v>8517</v>
      </c>
      <c r="D9" s="191">
        <v>8517</v>
      </c>
    </row>
    <row r="10" spans="2:4">
      <c r="B10" s="191" t="s">
        <v>806</v>
      </c>
      <c r="C10" s="191">
        <v>8517</v>
      </c>
      <c r="D10" s="191">
        <v>8517</v>
      </c>
    </row>
    <row r="11" spans="2:4">
      <c r="B11" s="191" t="s">
        <v>178</v>
      </c>
      <c r="C11" s="191">
        <v>8544</v>
      </c>
      <c r="D11" s="191">
        <v>8544</v>
      </c>
    </row>
    <row r="12" spans="2:4">
      <c r="B12" s="191" t="s">
        <v>807</v>
      </c>
      <c r="C12" s="191">
        <v>8544</v>
      </c>
      <c r="D12" s="191">
        <v>8544</v>
      </c>
    </row>
    <row r="13" spans="2:4">
      <c r="B13" s="191" t="s">
        <v>808</v>
      </c>
      <c r="C13" s="191">
        <v>8536</v>
      </c>
      <c r="D13" s="191">
        <v>8536</v>
      </c>
    </row>
    <row r="14" spans="2:4">
      <c r="B14" s="191" t="s">
        <v>809</v>
      </c>
      <c r="C14" s="191">
        <v>8544</v>
      </c>
      <c r="D14" s="191">
        <v>8544</v>
      </c>
    </row>
    <row r="15" spans="2:4">
      <c r="B15" s="191" t="s">
        <v>161</v>
      </c>
      <c r="C15" s="191">
        <v>8544</v>
      </c>
      <c r="D15" s="191">
        <v>8544</v>
      </c>
    </row>
    <row r="16" spans="2:4">
      <c r="B16" s="191" t="s">
        <v>810</v>
      </c>
      <c r="C16" s="191">
        <v>8529</v>
      </c>
      <c r="D16" s="191">
        <v>85299090</v>
      </c>
    </row>
    <row r="17" spans="2:4">
      <c r="B17" s="191" t="s">
        <v>811</v>
      </c>
      <c r="C17" s="191">
        <v>8529</v>
      </c>
      <c r="D17" s="191">
        <v>85299090</v>
      </c>
    </row>
    <row r="18" spans="2:4">
      <c r="B18" s="191" t="s">
        <v>812</v>
      </c>
      <c r="C18" s="191">
        <v>9983</v>
      </c>
      <c r="D18" s="191">
        <v>998313</v>
      </c>
    </row>
    <row r="19" spans="2:4">
      <c r="B19" s="191" t="s">
        <v>813</v>
      </c>
      <c r="C19" s="191">
        <v>8523</v>
      </c>
      <c r="D19" s="191">
        <v>85235100</v>
      </c>
    </row>
    <row r="20" spans="2:4">
      <c r="B20" s="191" t="s">
        <v>814</v>
      </c>
      <c r="C20" s="191">
        <v>8443</v>
      </c>
      <c r="D20" s="191">
        <v>8443</v>
      </c>
    </row>
    <row r="21" spans="2:4">
      <c r="B21" s="191" t="s">
        <v>815</v>
      </c>
    </row>
    <row r="22" spans="2:4">
      <c r="B22" s="191" t="s">
        <v>816</v>
      </c>
    </row>
    <row r="23" spans="2:4">
      <c r="B23" s="191" t="s">
        <v>817</v>
      </c>
    </row>
    <row r="24" spans="2:4">
      <c r="B24" s="191" t="s">
        <v>818</v>
      </c>
    </row>
    <row r="25" spans="2:4">
      <c r="B25" s="191" t="s">
        <v>819</v>
      </c>
    </row>
    <row r="26" spans="2:4">
      <c r="B26" s="191" t="s">
        <v>820</v>
      </c>
    </row>
    <row r="27" spans="2:4">
      <c r="B27" s="191" t="s">
        <v>821</v>
      </c>
    </row>
    <row r="28" spans="2:4">
      <c r="B28" s="191" t="s">
        <v>822</v>
      </c>
    </row>
    <row r="29" spans="2:4">
      <c r="B29" s="191" t="s">
        <v>823</v>
      </c>
    </row>
    <row r="30" spans="2:4">
      <c r="B30" s="191" t="s">
        <v>824</v>
      </c>
    </row>
    <row r="31" spans="2:4">
      <c r="B31" s="191" t="s">
        <v>825</v>
      </c>
    </row>
    <row r="32" spans="2:4">
      <c r="B32" s="191" t="s">
        <v>826</v>
      </c>
    </row>
    <row r="33" spans="2:2">
      <c r="B33" s="191" t="s">
        <v>827</v>
      </c>
    </row>
    <row r="34" spans="2:2">
      <c r="B34" s="191" t="s">
        <v>828</v>
      </c>
    </row>
    <row r="35" spans="2:2">
      <c r="B35" s="191" t="s">
        <v>829</v>
      </c>
    </row>
    <row r="36" spans="2:2">
      <c r="B36" s="191" t="s">
        <v>830</v>
      </c>
    </row>
    <row r="37" spans="2:2">
      <c r="B37" s="191" t="s">
        <v>831</v>
      </c>
    </row>
    <row r="38" spans="2:2">
      <c r="B38" s="191" t="s">
        <v>832</v>
      </c>
    </row>
    <row r="39" spans="2:2">
      <c r="B39" s="191" t="s">
        <v>833</v>
      </c>
    </row>
    <row r="40" spans="2:2">
      <c r="B40" s="191" t="s">
        <v>834</v>
      </c>
    </row>
    <row r="41" spans="2:2">
      <c r="B41" s="191" t="s">
        <v>835</v>
      </c>
    </row>
    <row r="42" spans="2:2">
      <c r="B42" s="191" t="s">
        <v>836</v>
      </c>
    </row>
    <row r="43" spans="2:2">
      <c r="B43" s="191" t="s">
        <v>837</v>
      </c>
    </row>
    <row r="44" spans="2:2">
      <c r="B44" s="191" t="s">
        <v>838</v>
      </c>
    </row>
    <row r="45" spans="2:2">
      <c r="B45" s="191" t="s">
        <v>839</v>
      </c>
    </row>
    <row r="46" spans="2:2">
      <c r="B46" s="191" t="s">
        <v>840</v>
      </c>
    </row>
    <row r="47" spans="2:2">
      <c r="B47" s="191" t="s">
        <v>841</v>
      </c>
    </row>
    <row r="48" spans="2:2">
      <c r="B48" s="191" t="s">
        <v>842</v>
      </c>
    </row>
    <row r="49" spans="2:2">
      <c r="B49" s="191" t="s">
        <v>843</v>
      </c>
    </row>
    <row r="50" spans="2:2">
      <c r="B50" s="191" t="s">
        <v>844</v>
      </c>
    </row>
    <row r="51" spans="2:2">
      <c r="B51" s="191" t="s">
        <v>845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15</vt:i4>
      </vt:variant>
    </vt:vector>
  </HeadingPairs>
  <TitlesOfParts>
    <vt:vector size="24" baseType="lpstr">
      <vt:lpstr>Invoice</vt:lpstr>
      <vt:lpstr>Invoice data</vt:lpstr>
      <vt:lpstr>REGISTRY</vt:lpstr>
      <vt:lpstr>VOUCHER C.REPAIR</vt:lpstr>
      <vt:lpstr>gst1</vt:lpstr>
      <vt:lpstr>GSTIN UNREGISTERED FIRM</vt:lpstr>
      <vt:lpstr>sol_id</vt:lpstr>
      <vt:lpstr>invoice copy ravi ansara</vt:lpstr>
      <vt:lpstr>hsnmast</vt:lpstr>
      <vt:lpstr>add</vt:lpstr>
      <vt:lpstr>add_db</vt:lpstr>
      <vt:lpstr>Client</vt:lpstr>
      <vt:lpstr>CUST</vt:lpstr>
      <vt:lpstr>GSTINREG</vt:lpstr>
      <vt:lpstr>'invoice copy ravi ansara'!GSTMP</vt:lpstr>
      <vt:lpstr>GSTMP</vt:lpstr>
      <vt:lpstr>hsnmast</vt:lpstr>
      <vt:lpstr>'GSTIN UNREGISTERED FIRM'!Print_Area</vt:lpstr>
      <vt:lpstr>Invoice!Print_Area</vt:lpstr>
      <vt:lpstr>'invoice copy ravi ansara'!Print_Area</vt:lpstr>
      <vt:lpstr>'VOUCHER C.REPAIR'!Print_Area</vt:lpstr>
      <vt:lpstr>REGISTRY</vt:lpstr>
      <vt:lpstr>sol_ids</vt:lpstr>
      <vt:lpstr>taxgst</vt:lpstr>
    </vt:vector>
  </TitlesOfParts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Oscar</dc:creator>
  <cp:lastModifiedBy>Sulaxn</cp:lastModifiedBy>
  <cp:revision/>
  <cp:lastPrinted>2026-05-08T10:55:30Z</cp:lastPrinted>
  <dcterms:created xsi:type="dcterms:W3CDTF">2010-11-04T07:47:45Z</dcterms:created>
  <dcterms:modified xsi:type="dcterms:W3CDTF">2026-05-09T12:00:20Z</dcterms:modified>
  <cp:contentStatus/>
</cp:coreProperties>
</file>